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0" hidden="1">Sheet1!$A$1:$H$218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86185</author>
  </authors>
  <commentList>
    <comment ref="G29" authorId="0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310Z1修改为310z</t>
        </r>
      </text>
    </comment>
    <comment ref="G30" authorId="0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310z2修改为309z
</t>
        </r>
      </text>
    </comment>
  </commentList>
</comments>
</file>

<file path=xl/comments2.xml><?xml version="1.0" encoding="utf-8"?>
<comments xmlns="http://schemas.openxmlformats.org/spreadsheetml/2006/main">
  <authors>
    <author>86185</author>
  </authors>
  <commentList>
    <comment ref="H29" authorId="0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310Z1修改为310z</t>
        </r>
      </text>
    </comment>
    <comment ref="H30" authorId="0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310z2修改为309z
</t>
        </r>
      </text>
    </comment>
  </commentList>
</comments>
</file>

<file path=xl/sharedStrings.xml><?xml version="1.0" encoding="utf-8"?>
<sst xmlns="http://schemas.openxmlformats.org/spreadsheetml/2006/main" count="5795" uniqueCount="2730">
  <si>
    <t>设备编号</t>
  </si>
  <si>
    <t>设备名称</t>
  </si>
  <si>
    <t>序号</t>
  </si>
  <si>
    <t>图号:S2179-2510-03/主厂房660V系统图一</t>
  </si>
  <si>
    <t>远程/就地</t>
  </si>
  <si>
    <t>电源</t>
  </si>
  <si>
    <t>抽屉工作位</t>
  </si>
  <si>
    <t>合闸</t>
  </si>
  <si>
    <t>分闸</t>
  </si>
  <si>
    <t>块煤系统喷水泵</t>
  </si>
  <si>
    <t>404循环水泵</t>
  </si>
  <si>
    <t>DB162,DBB0</t>
  </si>
  <si>
    <t>I0.7</t>
  </si>
  <si>
    <t>I0.0</t>
  </si>
  <si>
    <t>I0.6</t>
  </si>
  <si>
    <t>Q0.1</t>
  </si>
  <si>
    <t>Q0.2</t>
  </si>
  <si>
    <t>原煤储煤场送至主厂房带式输送机</t>
  </si>
  <si>
    <t>301原煤皮带</t>
  </si>
  <si>
    <t>块精煤破碎机油泵电机</t>
  </si>
  <si>
    <t>311y</t>
  </si>
  <si>
    <t>DB162,DBB6</t>
  </si>
  <si>
    <t>I5.0</t>
  </si>
  <si>
    <t>I1.7</t>
  </si>
  <si>
    <t>I4.7</t>
  </si>
  <si>
    <t>Q0.7</t>
  </si>
  <si>
    <t>Q1.0</t>
  </si>
  <si>
    <t>机头间至原煤储煤场带式输送机</t>
  </si>
  <si>
    <t>121转载皮带</t>
  </si>
  <si>
    <t>块精煤破碎机a</t>
  </si>
  <si>
    <t>311a</t>
  </si>
  <si>
    <t>DB162,DBB12</t>
  </si>
  <si>
    <t>I7.7</t>
  </si>
  <si>
    <t>I5.1</t>
  </si>
  <si>
    <t>I7.6</t>
  </si>
  <si>
    <t>Q1.5</t>
  </si>
  <si>
    <t>Q1.6</t>
  </si>
  <si>
    <t>储煤场下转载带式输送机</t>
  </si>
  <si>
    <t>141储煤场下转载带式输送机</t>
  </si>
  <si>
    <t>块精煤破碎机b</t>
  </si>
  <si>
    <t>311b</t>
  </si>
  <si>
    <t>DB162,DBB18</t>
  </si>
  <si>
    <t>I10.6</t>
  </si>
  <si>
    <t>I8.0</t>
  </si>
  <si>
    <t>I10.5</t>
  </si>
  <si>
    <t>Q2.2</t>
  </si>
  <si>
    <t>Q2.3</t>
  </si>
  <si>
    <t>311y块精煤破碎机油泵电机</t>
  </si>
  <si>
    <t>原煤破碎机油泵电机</t>
  </si>
  <si>
    <t>324y</t>
  </si>
  <si>
    <t>DB162,DBB24</t>
  </si>
  <si>
    <t>I1.5</t>
  </si>
  <si>
    <t>I1.0</t>
  </si>
  <si>
    <t>I1.4</t>
  </si>
  <si>
    <t>Q0.4</t>
  </si>
  <si>
    <t>Q0.5</t>
  </si>
  <si>
    <t>块精煤破碎机</t>
  </si>
  <si>
    <t>311a块精煤破碎机</t>
  </si>
  <si>
    <t>原煤破碎机a</t>
  </si>
  <si>
    <t>324a</t>
  </si>
  <si>
    <t>DB162,DBB30</t>
  </si>
  <si>
    <t>I12.0</t>
  </si>
  <si>
    <t>I10.7</t>
  </si>
  <si>
    <t>I11.7</t>
  </si>
  <si>
    <t>Q3.1</t>
  </si>
  <si>
    <t>Q3.2</t>
  </si>
  <si>
    <t>311b块精煤破碎机</t>
  </si>
  <si>
    <t>原煤破碎机b</t>
  </si>
  <si>
    <t>324b</t>
  </si>
  <si>
    <t>DB162,DBB36</t>
  </si>
  <si>
    <t>I13.4</t>
  </si>
  <si>
    <t>I12.3</t>
  </si>
  <si>
    <t>I13.3</t>
  </si>
  <si>
    <t>Q3.6</t>
  </si>
  <si>
    <t>Q3.7</t>
  </si>
  <si>
    <t>324y原煤破碎机油泵电机</t>
  </si>
  <si>
    <t>带式输送机液压拉紧装置</t>
  </si>
  <si>
    <t>141L</t>
  </si>
  <si>
    <t>DB162,DBB42</t>
  </si>
  <si>
    <t>I16.5</t>
  </si>
  <si>
    <t>I16.0</t>
  </si>
  <si>
    <t>I16.4</t>
  </si>
  <si>
    <t>Q4.1</t>
  </si>
  <si>
    <t>Q4.2</t>
  </si>
  <si>
    <t>原煤破碎机</t>
  </si>
  <si>
    <t>324a原煤破碎机</t>
  </si>
  <si>
    <t>矸石仓下闸门液压站</t>
  </si>
  <si>
    <t>902Y</t>
  </si>
  <si>
    <t>DB162,DBB48</t>
  </si>
  <si>
    <t>I18.0</t>
  </si>
  <si>
    <t>I16.7</t>
  </si>
  <si>
    <t>I17.7</t>
  </si>
  <si>
    <t>Q4.6</t>
  </si>
  <si>
    <t>Q4.7</t>
  </si>
  <si>
    <t>324b原煤破碎机</t>
  </si>
  <si>
    <t>矸石仓下排污泵</t>
  </si>
  <si>
    <t>DB162,DBB54</t>
  </si>
  <si>
    <t>I19.4</t>
  </si>
  <si>
    <t>I18.3</t>
  </si>
  <si>
    <t>I19.3</t>
  </si>
  <si>
    <t>Q5.3</t>
  </si>
  <si>
    <t>Q5.4</t>
  </si>
  <si>
    <t>原煤缓冲仓下电动葫芦</t>
  </si>
  <si>
    <t>152原煤缓冲仓下电动葫芦</t>
  </si>
  <si>
    <t>长距离皮带制动电机</t>
  </si>
  <si>
    <t>111bZ</t>
  </si>
  <si>
    <t>DB162,DBB60</t>
  </si>
  <si>
    <t>I20.6</t>
  </si>
  <si>
    <t>I20.3</t>
  </si>
  <si>
    <t>I20.5</t>
  </si>
  <si>
    <t>Q5.7</t>
  </si>
  <si>
    <t>Q6.0</t>
  </si>
  <si>
    <t>原煤储煤厂上电动葫芦</t>
  </si>
  <si>
    <t>154原煤储煤厂上电动葫芦</t>
  </si>
  <si>
    <t>111aZ</t>
  </si>
  <si>
    <t>DB162,DBB66</t>
  </si>
  <si>
    <t>I21.2</t>
  </si>
  <si>
    <t>I20.7</t>
  </si>
  <si>
    <t>I21.1</t>
  </si>
  <si>
    <t>Q6.1</t>
  </si>
  <si>
    <t>Q6.2</t>
  </si>
  <si>
    <t>原煤缓冲仓上电动葫芦</t>
  </si>
  <si>
    <t>155原煤缓冲仓上电动葫芦</t>
  </si>
  <si>
    <t>长距离管状皮带主电机冷风电机</t>
  </si>
  <si>
    <t>111bL</t>
  </si>
  <si>
    <t>DB162,DBB72</t>
  </si>
  <si>
    <t>I21.6</t>
  </si>
  <si>
    <t>I21.3</t>
  </si>
  <si>
    <t>I21.5</t>
  </si>
  <si>
    <t>Q6.3</t>
  </si>
  <si>
    <t>Q6.4</t>
  </si>
  <si>
    <t>矸石仓至管带机头肩带式输送机</t>
  </si>
  <si>
    <t>911矸石仓至管带机头肩带式输送机</t>
  </si>
  <si>
    <t>111aL</t>
  </si>
  <si>
    <t>DB162,DBB78</t>
  </si>
  <si>
    <t>I57.0</t>
  </si>
  <si>
    <t>I54.0</t>
  </si>
  <si>
    <t>I56.7</t>
  </si>
  <si>
    <t>Q22.1</t>
  </si>
  <si>
    <t>Q22.2</t>
  </si>
  <si>
    <t>储煤场上卸煤带式输送机</t>
  </si>
  <si>
    <t>122储煤场上卸煤带式输送机</t>
  </si>
  <si>
    <t>管状皮带机头间排污泵</t>
  </si>
  <si>
    <t>DB162,DBB84</t>
  </si>
  <si>
    <t>I59.3</t>
  </si>
  <si>
    <t>I57.1</t>
  </si>
  <si>
    <t>I59.2</t>
  </si>
  <si>
    <t>Q22.6</t>
  </si>
  <si>
    <t>Q22.7</t>
  </si>
  <si>
    <t>141L带式输送机液压拉紧装置</t>
  </si>
  <si>
    <t>长距离管状皮带主电机热风电机</t>
  </si>
  <si>
    <t>111bR</t>
  </si>
  <si>
    <t>DB162,DBB90</t>
  </si>
  <si>
    <t>I22.2</t>
  </si>
  <si>
    <t>I21.7</t>
  </si>
  <si>
    <t>I22.1</t>
  </si>
  <si>
    <t>Q6.5</t>
  </si>
  <si>
    <t>Q6.6</t>
  </si>
  <si>
    <t>矸石仓上电动葫芦</t>
  </si>
  <si>
    <t>906矸石仓上电动葫芦</t>
  </si>
  <si>
    <t>111aR</t>
  </si>
  <si>
    <t>DB162,DBB96</t>
  </si>
  <si>
    <t>I23.1</t>
  </si>
  <si>
    <t>I22.6</t>
  </si>
  <si>
    <t>I23.0</t>
  </si>
  <si>
    <t>Q7.0</t>
  </si>
  <si>
    <t>Q7.1</t>
  </si>
  <si>
    <t>原煤储煤场下电动葫芦</t>
  </si>
  <si>
    <t>153原煤储煤场下电动葫芦</t>
  </si>
  <si>
    <t>机头溜槽闸门液压站</t>
  </si>
  <si>
    <t>121Y</t>
  </si>
  <si>
    <t>DB162,DBB102</t>
  </si>
  <si>
    <t>I23.5</t>
  </si>
  <si>
    <t>I23.2</t>
  </si>
  <si>
    <t>I23.4</t>
  </si>
  <si>
    <t>Q7.2</t>
  </si>
  <si>
    <t>Q7.3</t>
  </si>
  <si>
    <t>902Y矸石仓下闸门液压站</t>
  </si>
  <si>
    <t>原煤储煤场地道斜流风机</t>
  </si>
  <si>
    <t>XLFJ</t>
  </si>
  <si>
    <t>DB162,DBB108</t>
  </si>
  <si>
    <t>I65.2</t>
  </si>
  <si>
    <t>I64.7</t>
  </si>
  <si>
    <t>I65.1</t>
  </si>
  <si>
    <t>Q26.1</t>
  </si>
  <si>
    <t>Q26.2</t>
  </si>
  <si>
    <t>907矸石仓下排污泵</t>
  </si>
  <si>
    <t>储煤场下排污泵</t>
  </si>
  <si>
    <t>DB162,DBB114</t>
  </si>
  <si>
    <t>I24.6</t>
  </si>
  <si>
    <t>I23.6</t>
  </si>
  <si>
    <t>I24.5</t>
  </si>
  <si>
    <t>Q7.5</t>
  </si>
  <si>
    <t>Q7.6</t>
  </si>
  <si>
    <t>主厂房至矸石仓带式输送机</t>
  </si>
  <si>
    <t>901主厂房至矸石仓带式输送机</t>
  </si>
  <si>
    <t>缓冲仓下排污泵</t>
  </si>
  <si>
    <t>DB162,DBB120</t>
  </si>
  <si>
    <t>I89.0</t>
  </si>
  <si>
    <t>I86.1</t>
  </si>
  <si>
    <t>I88.7</t>
  </si>
  <si>
    <t>Q34.0</t>
  </si>
  <si>
    <t>Q34.1</t>
  </si>
  <si>
    <t>111bZ长距离皮带制动电机</t>
  </si>
  <si>
    <t>电磁除铁器</t>
  </si>
  <si>
    <t>DB162,DBB126</t>
  </si>
  <si>
    <t>I26.4</t>
  </si>
  <si>
    <t>I26.1</t>
  </si>
  <si>
    <t>I27.1</t>
  </si>
  <si>
    <t>Q9.1</t>
  </si>
  <si>
    <t>Q9.2</t>
  </si>
  <si>
    <t>111aZ长距离皮带制动电机</t>
  </si>
  <si>
    <t>原煤分级筛</t>
  </si>
  <si>
    <t>DB162,DBB132</t>
  </si>
  <si>
    <t>I27.2</t>
  </si>
  <si>
    <t>I26.7</t>
  </si>
  <si>
    <t>Q9.4</t>
  </si>
  <si>
    <t>Q9.5</t>
  </si>
  <si>
    <t>111bL长距离管状皮带主电机冷风电机</t>
  </si>
  <si>
    <t>DB162,DBB138</t>
  </si>
  <si>
    <t>I60.1</t>
  </si>
  <si>
    <t>I59.4</t>
  </si>
  <si>
    <t>I60.0</t>
  </si>
  <si>
    <t>Q23.3</t>
  </si>
  <si>
    <t>Q23.4</t>
  </si>
  <si>
    <t>111aL长距离管状皮带主电机冷风电机</t>
  </si>
  <si>
    <t>块精煤离心机油泵电机</t>
  </si>
  <si>
    <t>310y</t>
  </si>
  <si>
    <t>DB162,DBB144</t>
  </si>
  <si>
    <t>I60.7</t>
  </si>
  <si>
    <t>I60.2</t>
  </si>
  <si>
    <t>I60.6</t>
  </si>
  <si>
    <t>Q23.6</t>
  </si>
  <si>
    <t>Q23.7</t>
  </si>
  <si>
    <t>114管状皮带机头间排污泵</t>
  </si>
  <si>
    <t>309y</t>
  </si>
  <si>
    <t>DB162,DBB150</t>
  </si>
  <si>
    <t>I62.0</t>
  </si>
  <si>
    <t>I61.0</t>
  </si>
  <si>
    <t>I61.7</t>
  </si>
  <si>
    <t>Q24.1</t>
  </si>
  <si>
    <t>Q24.2</t>
  </si>
  <si>
    <t>111bR长距离管状皮带主电机热风电机</t>
  </si>
  <si>
    <t>块煤离心机振动电机310</t>
  </si>
  <si>
    <t>310Z</t>
  </si>
  <si>
    <t>DB162,DBB156</t>
  </si>
  <si>
    <t>I62.6</t>
  </si>
  <si>
    <t>I62.1</t>
  </si>
  <si>
    <t>I62.5</t>
  </si>
  <si>
    <t>Q24.4</t>
  </si>
  <si>
    <t>Q24.5</t>
  </si>
  <si>
    <t>111aR长距离管状皮带主电机热风电机</t>
  </si>
  <si>
    <t>块煤离心机振动电机309</t>
  </si>
  <si>
    <t>309z</t>
  </si>
  <si>
    <t>DB162,DBB162</t>
  </si>
  <si>
    <t>I63.4</t>
  </si>
  <si>
    <t>I62.7</t>
  </si>
  <si>
    <t>I63.3</t>
  </si>
  <si>
    <t>Q24.7</t>
  </si>
  <si>
    <t>Q25.0</t>
  </si>
  <si>
    <t>127Z</t>
  </si>
  <si>
    <t>缓冲仓下闸门</t>
  </si>
  <si>
    <t>127Z缓冲仓下闸门</t>
  </si>
  <si>
    <t>块精煤离心机</t>
  </si>
  <si>
    <t>DB162,DBB168</t>
  </si>
  <si>
    <t>I66.5</t>
  </si>
  <si>
    <t>I66.2</t>
  </si>
  <si>
    <t>I66.4</t>
  </si>
  <si>
    <t>Q27.0</t>
  </si>
  <si>
    <t>Q27.1</t>
  </si>
  <si>
    <t>129Z</t>
  </si>
  <si>
    <t>储煤场下闸门</t>
  </si>
  <si>
    <t>129Z储煤场下闸门</t>
  </si>
  <si>
    <t>除尘清水管道泵</t>
  </si>
  <si>
    <t>DB162,DBB180</t>
  </si>
  <si>
    <t>I92.3</t>
  </si>
  <si>
    <t>I92.0</t>
  </si>
  <si>
    <t>I92.2</t>
  </si>
  <si>
    <t>Q36.0</t>
  </si>
  <si>
    <t>Q36.1</t>
  </si>
  <si>
    <t>131Z</t>
  </si>
  <si>
    <t>131Z储煤场下闸门</t>
  </si>
  <si>
    <t>块煤筛介磁选机</t>
  </si>
  <si>
    <t>DB162,DBB192</t>
  </si>
  <si>
    <t>I94.1</t>
  </si>
  <si>
    <t>I93.6</t>
  </si>
  <si>
    <t>I94.0</t>
  </si>
  <si>
    <t>Q36.6</t>
  </si>
  <si>
    <t>Q36.7</t>
  </si>
  <si>
    <t>管状皮带机头间电动葫芦</t>
  </si>
  <si>
    <t>113管状皮带机头间电动葫芦</t>
  </si>
  <si>
    <t>中介系统排污泵</t>
  </si>
  <si>
    <t>DB162,DBB204</t>
  </si>
  <si>
    <t>I64.0</t>
  </si>
  <si>
    <t>I63.5</t>
  </si>
  <si>
    <t>I63.7</t>
  </si>
  <si>
    <t>Q25.1</t>
  </si>
  <si>
    <t>Q25.2</t>
  </si>
  <si>
    <t>121Y机头溜槽闸门液压站</t>
  </si>
  <si>
    <t>浅槽分选机</t>
  </si>
  <si>
    <t>DB162,DBB210</t>
  </si>
  <si>
    <t>I95.7</t>
  </si>
  <si>
    <t>I95.4</t>
  </si>
  <si>
    <t>I95.6</t>
  </si>
  <si>
    <t>Q37.4</t>
  </si>
  <si>
    <t>Q37.5</t>
  </si>
  <si>
    <t>XLFJ原煤储煤场地道斜流风机</t>
  </si>
  <si>
    <t>块煤脱泥筛</t>
  </si>
  <si>
    <t>DB162,DBB216</t>
  </si>
  <si>
    <t>I70.7</t>
  </si>
  <si>
    <t>I70.2</t>
  </si>
  <si>
    <t>I70.6</t>
  </si>
  <si>
    <t>Q28.7</t>
  </si>
  <si>
    <t>Q29.0</t>
  </si>
  <si>
    <t>157储煤场下排污泵</t>
  </si>
  <si>
    <t>DB162,DBB222</t>
  </si>
  <si>
    <t>I69.0</t>
  </si>
  <si>
    <t>I68.0</t>
  </si>
  <si>
    <t>I68.7</t>
  </si>
  <si>
    <t>Q28.1</t>
  </si>
  <si>
    <t>Q28.2</t>
  </si>
  <si>
    <t>156缓冲仓下排污泵</t>
  </si>
  <si>
    <t>加介泵</t>
  </si>
  <si>
    <t>323B</t>
  </si>
  <si>
    <t>DB162,DBB228</t>
  </si>
  <si>
    <t>I70.1</t>
  </si>
  <si>
    <t>I69.1</t>
  </si>
  <si>
    <t>I70.0</t>
  </si>
  <si>
    <t>Q28.4</t>
  </si>
  <si>
    <t>Q28.5</t>
  </si>
  <si>
    <t>304/A</t>
  </si>
  <si>
    <t>排料溜槽电液动闸门</t>
  </si>
  <si>
    <t>降尘射雾器</t>
  </si>
  <si>
    <t>SWQ2</t>
  </si>
  <si>
    <t>DB162,DBB234</t>
  </si>
  <si>
    <t>I73.1</t>
  </si>
  <si>
    <t>I72.0</t>
  </si>
  <si>
    <t>I73.0</t>
  </si>
  <si>
    <t>Q29.7</t>
  </si>
  <si>
    <t>Q30.0</t>
  </si>
  <si>
    <t>303/A</t>
  </si>
  <si>
    <t>SWQ1</t>
  </si>
  <si>
    <t>DB162,DBB240</t>
  </si>
  <si>
    <t>I74.5</t>
  </si>
  <si>
    <t>I73.4</t>
  </si>
  <si>
    <t>I74.4</t>
  </si>
  <si>
    <t>Q30.3</t>
  </si>
  <si>
    <t>Q30.4</t>
  </si>
  <si>
    <t>块矸石脱介筛</t>
  </si>
  <si>
    <t>DB162,DBB246</t>
  </si>
  <si>
    <t>I71.3</t>
  </si>
  <si>
    <t>I71.0</t>
  </si>
  <si>
    <t>I71.2</t>
  </si>
  <si>
    <t>Q29.1</t>
  </si>
  <si>
    <t>Q29.2</t>
  </si>
  <si>
    <t>块精煤脱介筛</t>
  </si>
  <si>
    <t>308B</t>
  </si>
  <si>
    <t>DB162,DBB252</t>
  </si>
  <si>
    <t>I75.5</t>
  </si>
  <si>
    <t>I75.0</t>
  </si>
  <si>
    <t>I75.4</t>
  </si>
  <si>
    <t>Q30.6</t>
  </si>
  <si>
    <t>Q30.7</t>
  </si>
  <si>
    <t>308A</t>
  </si>
  <si>
    <t>DB162,DBB258</t>
  </si>
  <si>
    <t>I76.5</t>
  </si>
  <si>
    <t>I76.0</t>
  </si>
  <si>
    <t>I76.4</t>
  </si>
  <si>
    <t>Q31.1</t>
  </si>
  <si>
    <t>Q31.2</t>
  </si>
  <si>
    <t>带式给煤机风扇电机</t>
  </si>
  <si>
    <t>902f</t>
  </si>
  <si>
    <t>DB162,DBB264</t>
  </si>
  <si>
    <t>I77.5</t>
  </si>
  <si>
    <t>I77.0</t>
  </si>
  <si>
    <t>I77.4</t>
  </si>
  <si>
    <t>Q31.4</t>
  </si>
  <si>
    <t>Q31.5</t>
  </si>
  <si>
    <t>903f</t>
  </si>
  <si>
    <t>DB162,DBB270</t>
  </si>
  <si>
    <t>I97.4</t>
  </si>
  <si>
    <t>I96.7</t>
  </si>
  <si>
    <t>I97.3</t>
  </si>
  <si>
    <t>Q38.4</t>
  </si>
  <si>
    <t>Q38.5</t>
  </si>
  <si>
    <t>310Z1</t>
  </si>
  <si>
    <t>块煤离心机振动电机</t>
  </si>
  <si>
    <t>127f</t>
  </si>
  <si>
    <t>DB162,DBB276</t>
  </si>
  <si>
    <t>310z2</t>
  </si>
  <si>
    <t>128f</t>
  </si>
  <si>
    <t>DB162,DBB282</t>
  </si>
  <si>
    <t>129f</t>
  </si>
  <si>
    <t>DB162,DBB288</t>
  </si>
  <si>
    <t>I89.6</t>
  </si>
  <si>
    <t>I89.1</t>
  </si>
  <si>
    <t>I89.5</t>
  </si>
  <si>
    <t>Q34.6</t>
  </si>
  <si>
    <t>Q34.7</t>
  </si>
  <si>
    <t>130f</t>
  </si>
  <si>
    <t>DB162,DBB294</t>
  </si>
  <si>
    <t>I98.3</t>
  </si>
  <si>
    <t>I97.6</t>
  </si>
  <si>
    <t>I98.2</t>
  </si>
  <si>
    <t>Q38.7</t>
  </si>
  <si>
    <t>Q39.0</t>
  </si>
  <si>
    <t>131f</t>
  </si>
  <si>
    <t>DB162,DBB300</t>
  </si>
  <si>
    <t>I104.5</t>
  </si>
  <si>
    <t>I104.0</t>
  </si>
  <si>
    <t>I104.4</t>
  </si>
  <si>
    <t>Q42.1</t>
  </si>
  <si>
    <t>Q42.2</t>
  </si>
  <si>
    <t>块煤稀介磁选机</t>
  </si>
  <si>
    <t>132f</t>
  </si>
  <si>
    <t>DB162,DBB306</t>
  </si>
  <si>
    <t>I105.3</t>
  </si>
  <si>
    <t>I104.6</t>
  </si>
  <si>
    <t>I105.2</t>
  </si>
  <si>
    <t>Q42.4</t>
  </si>
  <si>
    <t>Q42.5</t>
  </si>
  <si>
    <t>矸石仓下带式给煤机</t>
  </si>
  <si>
    <t>DB162,DBB312</t>
  </si>
  <si>
    <t>I106.1</t>
  </si>
  <si>
    <t>I105.4</t>
  </si>
  <si>
    <t>I106.0</t>
  </si>
  <si>
    <t>Q42.7</t>
  </si>
  <si>
    <t>Q43.0</t>
  </si>
  <si>
    <t>矸石仓带式给煤机</t>
  </si>
  <si>
    <t>DB162,DBB318</t>
  </si>
  <si>
    <t>I106.7</t>
  </si>
  <si>
    <t>I106.2</t>
  </si>
  <si>
    <t>I106.6</t>
  </si>
  <si>
    <t>Q43.2</t>
  </si>
  <si>
    <t>Q43.3</t>
  </si>
  <si>
    <t>末煤收集刮板输送机</t>
  </si>
  <si>
    <t>原煤缓冲仓下带式给煤机</t>
  </si>
  <si>
    <t>DB162,DBB324</t>
  </si>
  <si>
    <t>I108.2</t>
  </si>
  <si>
    <t>I107.0</t>
  </si>
  <si>
    <t>I108.1</t>
  </si>
  <si>
    <t>Q43.6</t>
  </si>
  <si>
    <t>Q43.7</t>
  </si>
  <si>
    <t>末煤转载刮板输送机</t>
  </si>
  <si>
    <t>原煤储煤场下带式给煤机</t>
  </si>
  <si>
    <t>DB162,DBB330</t>
  </si>
  <si>
    <t>I109.5</t>
  </si>
  <si>
    <t>I108.3</t>
  </si>
  <si>
    <t>I109.4</t>
  </si>
  <si>
    <t>Q44.2</t>
  </si>
  <si>
    <t>Q44.3</t>
  </si>
  <si>
    <t>电动葫芦</t>
  </si>
  <si>
    <t>DB162,DBB336</t>
  </si>
  <si>
    <t>I143.7</t>
  </si>
  <si>
    <t>I143.4</t>
  </si>
  <si>
    <t>I143.6</t>
  </si>
  <si>
    <t>Q61.5</t>
  </si>
  <si>
    <t>Q61.6</t>
  </si>
  <si>
    <t>DB162,DBB342</t>
  </si>
  <si>
    <t>I112.2</t>
  </si>
  <si>
    <t>I111.2</t>
  </si>
  <si>
    <t>I112.1</t>
  </si>
  <si>
    <t>Q46.1</t>
  </si>
  <si>
    <t>Q46.2</t>
  </si>
  <si>
    <t>DB162,DBB348</t>
  </si>
  <si>
    <t>I113.3</t>
  </si>
  <si>
    <t>I112.3</t>
  </si>
  <si>
    <t>I113.2</t>
  </si>
  <si>
    <t>Q46.5</t>
  </si>
  <si>
    <t>Q46.6</t>
  </si>
  <si>
    <t>DB162,DBB354</t>
  </si>
  <si>
    <t>I114.1</t>
  </si>
  <si>
    <t>I113.4</t>
  </si>
  <si>
    <t>I114.0</t>
  </si>
  <si>
    <t>Q47.0</t>
  </si>
  <si>
    <t>Q47.1</t>
  </si>
  <si>
    <t>块煤磁尾泵风扇电机</t>
  </si>
  <si>
    <t>316f</t>
  </si>
  <si>
    <t>DB162,DBB360</t>
  </si>
  <si>
    <t>I114.7</t>
  </si>
  <si>
    <t>I114.2</t>
  </si>
  <si>
    <t>I114.6</t>
  </si>
  <si>
    <t>Q47.3</t>
  </si>
  <si>
    <t>Q47.4</t>
  </si>
  <si>
    <t>分级旋流器入料泵风扇电机</t>
  </si>
  <si>
    <t>332f</t>
  </si>
  <si>
    <t>DB162,DBB366</t>
  </si>
  <si>
    <t>I116.5</t>
  </si>
  <si>
    <t>I116.0</t>
  </si>
  <si>
    <t>I116.4</t>
  </si>
  <si>
    <t>Q48.1</t>
  </si>
  <si>
    <t>Q48.2</t>
  </si>
  <si>
    <t>323A</t>
  </si>
  <si>
    <t>块煤磁尾泵</t>
  </si>
  <si>
    <t>DB162,DBB372</t>
  </si>
  <si>
    <t>I117.7</t>
  </si>
  <si>
    <t>I116.6</t>
  </si>
  <si>
    <t>I117.6</t>
  </si>
  <si>
    <t>Q48.4</t>
  </si>
  <si>
    <t>Q48.5</t>
  </si>
  <si>
    <t>分级旋流器入料泵</t>
  </si>
  <si>
    <t>DB162,DBB378</t>
  </si>
  <si>
    <t>I118.7</t>
  </si>
  <si>
    <t>I118.4</t>
  </si>
  <si>
    <t>I118.6</t>
  </si>
  <si>
    <t>Q49.1</t>
  </si>
  <si>
    <t>Q49.2</t>
  </si>
  <si>
    <t>压滤机入料泵</t>
  </si>
  <si>
    <t>DB162,DBB384</t>
  </si>
  <si>
    <t>I117.4</t>
  </si>
  <si>
    <t>Q48.6</t>
  </si>
  <si>
    <t>Q48.7</t>
  </si>
  <si>
    <t>310/A</t>
  </si>
  <si>
    <t>DB162,DBB390</t>
  </si>
  <si>
    <t>I120.5</t>
  </si>
  <si>
    <t>I119.4</t>
  </si>
  <si>
    <t>I120.4</t>
  </si>
  <si>
    <t>Q49.6</t>
  </si>
  <si>
    <t>Q49.7</t>
  </si>
  <si>
    <t>309/A</t>
  </si>
  <si>
    <t>压滤机入料桶搅拌电机</t>
  </si>
  <si>
    <t>DB162,DBB396</t>
  </si>
  <si>
    <t>I122.1</t>
  </si>
  <si>
    <t>I121.0</t>
  </si>
  <si>
    <t>I122.0</t>
  </si>
  <si>
    <t>Q50.2</t>
  </si>
  <si>
    <t>Q50.3</t>
  </si>
  <si>
    <t>702L</t>
  </si>
  <si>
    <t>DB162,DBB402</t>
  </si>
  <si>
    <t>I100.7</t>
  </si>
  <si>
    <t>I100.2</t>
  </si>
  <si>
    <t>I100.6</t>
  </si>
  <si>
    <t>Q40.1</t>
  </si>
  <si>
    <t>Q40.2</t>
  </si>
  <si>
    <t>701L</t>
  </si>
  <si>
    <t>DB162,DBB408</t>
  </si>
  <si>
    <t>Q50.5</t>
  </si>
  <si>
    <t>Q50.6</t>
  </si>
  <si>
    <t>高频叠层筛</t>
  </si>
  <si>
    <t>DB162,DBB414</t>
  </si>
  <si>
    <t>煤泥离心机油泵电机</t>
  </si>
  <si>
    <t>336y</t>
  </si>
  <si>
    <t>DB162,DBB420</t>
  </si>
  <si>
    <t>I101.5</t>
  </si>
  <si>
    <t>I101.0</t>
  </si>
  <si>
    <t>I101.4</t>
  </si>
  <si>
    <t>Q40.4</t>
  </si>
  <si>
    <t>Q40.5</t>
  </si>
  <si>
    <t>煤泥离心机主电机</t>
  </si>
  <si>
    <t>DB162,DBB426</t>
  </si>
  <si>
    <t>I102.3</t>
  </si>
  <si>
    <t>I101.6</t>
  </si>
  <si>
    <t>I102.2</t>
  </si>
  <si>
    <t>Q40.7</t>
  </si>
  <si>
    <t>Q41.0</t>
  </si>
  <si>
    <t>煤泥破碎机油泵电机</t>
  </si>
  <si>
    <t>352y</t>
  </si>
  <si>
    <t>DB162,DBB432</t>
  </si>
  <si>
    <t>I103.1</t>
  </si>
  <si>
    <t>I102.4</t>
  </si>
  <si>
    <t>I103.0</t>
  </si>
  <si>
    <t>Q41.2</t>
  </si>
  <si>
    <t>Q41.3</t>
  </si>
  <si>
    <t>湿式洗气机</t>
  </si>
  <si>
    <t>XQJ</t>
  </si>
  <si>
    <t>DB162,DBB438</t>
  </si>
  <si>
    <t>I149.7</t>
  </si>
  <si>
    <t>I149.2</t>
  </si>
  <si>
    <t>I149.6</t>
  </si>
  <si>
    <t>Q63.5</t>
  </si>
  <si>
    <t>Q63.6</t>
  </si>
  <si>
    <t>煤泥破碎机</t>
  </si>
  <si>
    <t>DB162,DBB444</t>
  </si>
  <si>
    <t>I148.3</t>
  </si>
  <si>
    <t>I147.6</t>
  </si>
  <si>
    <t>I148.2</t>
  </si>
  <si>
    <t>Q62.7</t>
  </si>
  <si>
    <t>Q63.0</t>
  </si>
  <si>
    <t>清水泵风扇电机</t>
  </si>
  <si>
    <t>338f</t>
  </si>
  <si>
    <t>DB162,DBB450</t>
  </si>
  <si>
    <t>I149.1</t>
  </si>
  <si>
    <t>I148.4</t>
  </si>
  <si>
    <t>I149.0</t>
  </si>
  <si>
    <t>Q63.2</t>
  </si>
  <si>
    <t>Q63.3</t>
  </si>
  <si>
    <t>压滤系统排污泵</t>
  </si>
  <si>
    <t>DB162,DBB456</t>
  </si>
  <si>
    <t>I144.5</t>
  </si>
  <si>
    <t>I144.0</t>
  </si>
  <si>
    <t>I144.4</t>
  </si>
  <si>
    <t>Q62.0</t>
  </si>
  <si>
    <t>Q62.1</t>
  </si>
  <si>
    <t>浓缩池下层排污泵</t>
  </si>
  <si>
    <t>406B</t>
  </si>
  <si>
    <t>DB162,DBB462</t>
  </si>
  <si>
    <t>I145.3</t>
  </si>
  <si>
    <t>I144.6</t>
  </si>
  <si>
    <t>I145.2</t>
  </si>
  <si>
    <t>Q62.3</t>
  </si>
  <si>
    <t>Q62.4</t>
  </si>
  <si>
    <t>406A</t>
  </si>
  <si>
    <t>DB162,DBB468</t>
  </si>
  <si>
    <t>I150.4</t>
  </si>
  <si>
    <t>I150.3</t>
  </si>
  <si>
    <t>Q64.1</t>
  </si>
  <si>
    <t>Q64.2</t>
  </si>
  <si>
    <t>重介系统轴封水泵</t>
  </si>
  <si>
    <t>DB162,DBB474</t>
  </si>
  <si>
    <t>I151.6</t>
  </si>
  <si>
    <t>I150.5</t>
  </si>
  <si>
    <t>I151.5</t>
  </si>
  <si>
    <t>Q64.4</t>
  </si>
  <si>
    <t>Q64.5</t>
  </si>
  <si>
    <t>压滤系统轴封水泵</t>
  </si>
  <si>
    <t>DB162,DBB480</t>
  </si>
  <si>
    <t>I151.2</t>
  </si>
  <si>
    <t>Q64.7</t>
  </si>
  <si>
    <t>Q65.0</t>
  </si>
  <si>
    <t>底流泵</t>
  </si>
  <si>
    <t>DB162,DBB486</t>
  </si>
  <si>
    <t>I152.3</t>
  </si>
  <si>
    <t>I151.7</t>
  </si>
  <si>
    <t>I152.2</t>
  </si>
  <si>
    <t>Q65.2</t>
  </si>
  <si>
    <t>Q65.3</t>
  </si>
  <si>
    <t>DB162,DBB492</t>
  </si>
  <si>
    <t>I153.0</t>
  </si>
  <si>
    <t>I152.4</t>
  </si>
  <si>
    <t>I152.7</t>
  </si>
  <si>
    <t>Q65.5</t>
  </si>
  <si>
    <t>Q65.6</t>
  </si>
  <si>
    <t>冲洗水泵</t>
  </si>
  <si>
    <t>DB162,DBB498</t>
  </si>
  <si>
    <t>I153.5</t>
  </si>
  <si>
    <t>I153.1</t>
  </si>
  <si>
    <t>I153.4</t>
  </si>
  <si>
    <t>Q66.0</t>
  </si>
  <si>
    <t>Q66.1</t>
  </si>
  <si>
    <t>电业翻板</t>
  </si>
  <si>
    <t>711FB</t>
  </si>
  <si>
    <t>DB162,DBB504</t>
  </si>
  <si>
    <t>I154.2</t>
  </si>
  <si>
    <t>I153.6</t>
  </si>
  <si>
    <t>I154.1</t>
  </si>
  <si>
    <t>Q66.3</t>
  </si>
  <si>
    <t>Q66.4</t>
  </si>
  <si>
    <t>块精煤分级筛油泵电机</t>
  </si>
  <si>
    <t>711y</t>
  </si>
  <si>
    <t>DB162,DBB510</t>
  </si>
  <si>
    <t>I154.7</t>
  </si>
  <si>
    <t>I154.3</t>
  </si>
  <si>
    <t>I154.6</t>
  </si>
  <si>
    <t>Q66.6</t>
  </si>
  <si>
    <t>Q66.7</t>
  </si>
  <si>
    <t>混煤配仓闸门液压站</t>
  </si>
  <si>
    <t>713EZ</t>
  </si>
  <si>
    <t>DB162,DBB516</t>
  </si>
  <si>
    <t>I41.3</t>
  </si>
  <si>
    <t>I40.6</t>
  </si>
  <si>
    <t>I41.2</t>
  </si>
  <si>
    <t>Q16.4</t>
  </si>
  <si>
    <t>Q16.5</t>
  </si>
  <si>
    <t>混煤配仓 闸门液压站</t>
  </si>
  <si>
    <t>713GZ</t>
  </si>
  <si>
    <t>DB162,DBB522</t>
  </si>
  <si>
    <t>I40.5</t>
  </si>
  <si>
    <t>I40.0</t>
  </si>
  <si>
    <t>I40.4</t>
  </si>
  <si>
    <t>Q16.1</t>
  </si>
  <si>
    <t>Q16.2</t>
  </si>
  <si>
    <t>363B</t>
  </si>
  <si>
    <t>高压风机</t>
  </si>
  <si>
    <t>713AZ</t>
  </si>
  <si>
    <t>DB162,DBB528</t>
  </si>
  <si>
    <t>I36.1</t>
  </si>
  <si>
    <t>I36.0</t>
  </si>
  <si>
    <t>Q13.0</t>
  </si>
  <si>
    <t>Q13.1</t>
  </si>
  <si>
    <t>363A</t>
  </si>
  <si>
    <t>混煤配仓 闸门液压站油泵</t>
  </si>
  <si>
    <t>713CZ</t>
  </si>
  <si>
    <t>DB162,DBB534</t>
  </si>
  <si>
    <t>I35.5</t>
  </si>
  <si>
    <t>I35.2</t>
  </si>
  <si>
    <t>I35.4</t>
  </si>
  <si>
    <t>Q12.6</t>
  </si>
  <si>
    <t>Q12.7</t>
  </si>
  <si>
    <t>低压风机</t>
  </si>
  <si>
    <t>精煤配仓 闸门液压站</t>
  </si>
  <si>
    <t>712EZ</t>
  </si>
  <si>
    <t>DB162,DBB540</t>
  </si>
  <si>
    <t>I35.1</t>
  </si>
  <si>
    <t>I34.6</t>
  </si>
  <si>
    <t>I35.0</t>
  </si>
  <si>
    <t>Q12.4</t>
  </si>
  <si>
    <t>Q12.5</t>
  </si>
  <si>
    <t>精煤配仓 闸门液压站油泵</t>
  </si>
  <si>
    <t>712GZ</t>
  </si>
  <si>
    <t>DB162,DBB546</t>
  </si>
  <si>
    <t>I91.4</t>
  </si>
  <si>
    <t>I91.0</t>
  </si>
  <si>
    <t>I91.3</t>
  </si>
  <si>
    <t>Q35.4</t>
  </si>
  <si>
    <t>Q35.5</t>
  </si>
  <si>
    <t>712AZ</t>
  </si>
  <si>
    <t>DB162,DBB552</t>
  </si>
  <si>
    <t>I90.5</t>
  </si>
  <si>
    <t>I90.1</t>
  </si>
  <si>
    <t>I90.4</t>
  </si>
  <si>
    <t>Q35.1</t>
  </si>
  <si>
    <t>Q35.2</t>
  </si>
  <si>
    <t>混煤配仓刮板输送机</t>
  </si>
  <si>
    <t>712CZ</t>
  </si>
  <si>
    <t>DB162,DBB558</t>
  </si>
  <si>
    <t>I33.3</t>
  </si>
  <si>
    <t>I31.6</t>
  </si>
  <si>
    <t>I33.2</t>
  </si>
  <si>
    <t>Q11.6</t>
  </si>
  <si>
    <t>Q11.7</t>
  </si>
  <si>
    <t>清水泵</t>
  </si>
  <si>
    <t>DB162,DBB564</t>
  </si>
  <si>
    <t>I31.5</t>
  </si>
  <si>
    <t>I30.0</t>
  </si>
  <si>
    <t>I31.4</t>
  </si>
  <si>
    <t>Q11.1</t>
  </si>
  <si>
    <t>Q11.2</t>
  </si>
  <si>
    <t>雨水沉淀池排水泵</t>
  </si>
  <si>
    <t>YSC1</t>
  </si>
  <si>
    <t>DB162,DBB570</t>
  </si>
  <si>
    <t>I29.7</t>
  </si>
  <si>
    <t>I29.0</t>
  </si>
  <si>
    <t>I29.6</t>
  </si>
  <si>
    <t>Q10.4</t>
  </si>
  <si>
    <t>Q10.5</t>
  </si>
  <si>
    <t>YSC2</t>
  </si>
  <si>
    <t>DB162,DBB576</t>
  </si>
  <si>
    <t>I28.7</t>
  </si>
  <si>
    <t>I28.0</t>
  </si>
  <si>
    <t>I28.6</t>
  </si>
  <si>
    <t>Q10.1</t>
  </si>
  <si>
    <t>Q10.2</t>
  </si>
  <si>
    <t>主厂房至产品仓精煤带式输送机</t>
  </si>
  <si>
    <t>产品仓下闸门液压站</t>
  </si>
  <si>
    <t>721Z</t>
  </si>
  <si>
    <t>DB162,DBB582</t>
  </si>
  <si>
    <t>I84.5</t>
  </si>
  <si>
    <t>I81.3</t>
  </si>
  <si>
    <t>I84.4</t>
  </si>
  <si>
    <t>Q32.7</t>
  </si>
  <si>
    <t>Q33.0</t>
  </si>
  <si>
    <t>主厂房至产品仓混煤带式输送机</t>
  </si>
  <si>
    <t>725Z</t>
  </si>
  <si>
    <t>DB162,DBB588</t>
  </si>
  <si>
    <t>I81.2</t>
  </si>
  <si>
    <t>I78.0</t>
  </si>
  <si>
    <t>I81.1</t>
  </si>
  <si>
    <t>Q32.1</t>
  </si>
  <si>
    <t>Q32.2</t>
  </si>
  <si>
    <t>729Z</t>
  </si>
  <si>
    <t>DB162,DBB594</t>
  </si>
  <si>
    <t>I44.7</t>
  </si>
  <si>
    <t>I44.2</t>
  </si>
  <si>
    <t>I44.6</t>
  </si>
  <si>
    <t>Q18.1</t>
  </si>
  <si>
    <t>Q18.2</t>
  </si>
  <si>
    <t>中高压压滤机</t>
  </si>
  <si>
    <t>733Z</t>
  </si>
  <si>
    <t>DB162,DBB600</t>
  </si>
  <si>
    <t>I50.5</t>
  </si>
  <si>
    <t>I50.2</t>
  </si>
  <si>
    <t>I50.4</t>
  </si>
  <si>
    <t>Q20.4</t>
  </si>
  <si>
    <t>Q20.5</t>
  </si>
  <si>
    <t>产品仓排污泵</t>
  </si>
  <si>
    <t>DB162,DBB606</t>
  </si>
  <si>
    <t>I50.1</t>
  </si>
  <si>
    <t>I49.6</t>
  </si>
  <si>
    <t>I50.0</t>
  </si>
  <si>
    <t>Q20.2</t>
  </si>
  <si>
    <t>Q20.3</t>
  </si>
  <si>
    <t>煤泥转载刮板输送机</t>
  </si>
  <si>
    <t>产品仓下排污泵</t>
  </si>
  <si>
    <t>DB162,DBB612</t>
  </si>
  <si>
    <t>I86.0</t>
  </si>
  <si>
    <t>I84.6</t>
  </si>
  <si>
    <t>I85.7</t>
  </si>
  <si>
    <t>Q33.5</t>
  </si>
  <si>
    <t>Q33.6</t>
  </si>
  <si>
    <t>煤泥收集刮板输送机</t>
  </si>
  <si>
    <t>721f</t>
  </si>
  <si>
    <t>DB162,DBB618</t>
  </si>
  <si>
    <t>I53.5</t>
  </si>
  <si>
    <t>I52.3</t>
  </si>
  <si>
    <t>I53.4</t>
  </si>
  <si>
    <t>Q21.4</t>
  </si>
  <si>
    <t>Q21.5</t>
  </si>
  <si>
    <t>722f</t>
  </si>
  <si>
    <t>DB162,DBB624</t>
  </si>
  <si>
    <t>I52.0</t>
  </si>
  <si>
    <t>I50.6</t>
  </si>
  <si>
    <t>I51.7</t>
  </si>
  <si>
    <t>Q21.0</t>
  </si>
  <si>
    <t>Q21.1</t>
  </si>
  <si>
    <t>723f</t>
  </si>
  <si>
    <t>DB162,DBB630</t>
  </si>
  <si>
    <t>I48.1</t>
  </si>
  <si>
    <t>I47.6</t>
  </si>
  <si>
    <t>I48.0</t>
  </si>
  <si>
    <t>Q19.4</t>
  </si>
  <si>
    <t>Q19.5</t>
  </si>
  <si>
    <t>724f</t>
  </si>
  <si>
    <t>DB162,DBB636</t>
  </si>
  <si>
    <t>I47.2</t>
  </si>
  <si>
    <t>I46.7</t>
  </si>
  <si>
    <t>I47.1</t>
  </si>
  <si>
    <t>Q19.1</t>
  </si>
  <si>
    <t>Q19.2</t>
  </si>
  <si>
    <t>725f</t>
  </si>
  <si>
    <t>DB162,DBB642</t>
  </si>
  <si>
    <t>I49.0</t>
  </si>
  <si>
    <t>I48.5</t>
  </si>
  <si>
    <t>I48.7</t>
  </si>
  <si>
    <t>Q19.7</t>
  </si>
  <si>
    <t>Q20.0</t>
  </si>
  <si>
    <t>产品仓上电动葫芦</t>
  </si>
  <si>
    <t>726f</t>
  </si>
  <si>
    <t>DB162,DBB648</t>
  </si>
  <si>
    <t>I38.1</t>
  </si>
  <si>
    <t>I37.6</t>
  </si>
  <si>
    <t>I38.0</t>
  </si>
  <si>
    <t>Q14.6</t>
  </si>
  <si>
    <t>Q14.7</t>
  </si>
  <si>
    <t>727f</t>
  </si>
  <si>
    <t>DB162,DBB654</t>
  </si>
  <si>
    <t>I46.5</t>
  </si>
  <si>
    <t>I46.0</t>
  </si>
  <si>
    <t>I46.4</t>
  </si>
  <si>
    <t>Q18.7</t>
  </si>
  <si>
    <t>Q19.0</t>
  </si>
  <si>
    <t>728f</t>
  </si>
  <si>
    <t>DB162,DBB660</t>
  </si>
  <si>
    <t>I45.5</t>
  </si>
  <si>
    <t>I45.0</t>
  </si>
  <si>
    <t>I45.4</t>
  </si>
  <si>
    <t>Q18.4</t>
  </si>
  <si>
    <t>Q18.5</t>
  </si>
  <si>
    <t>729f</t>
  </si>
  <si>
    <t>DB162,DBB666</t>
  </si>
  <si>
    <t>I43.1</t>
  </si>
  <si>
    <t>I42.4</t>
  </si>
  <si>
    <t>I43.0</t>
  </si>
  <si>
    <t>730f</t>
  </si>
  <si>
    <t>DB162,DBB672</t>
  </si>
  <si>
    <t>I43.6</t>
  </si>
  <si>
    <t>I43.3</t>
  </si>
  <si>
    <t>I43.5</t>
  </si>
  <si>
    <t>Q17.5</t>
  </si>
  <si>
    <t>Q17.6</t>
  </si>
  <si>
    <t>81DY</t>
  </si>
  <si>
    <t>产品仓配电室电源</t>
  </si>
  <si>
    <t>731f</t>
  </si>
  <si>
    <t>DB162,DBB678</t>
  </si>
  <si>
    <t>I37.3</t>
  </si>
  <si>
    <t>I37.2</t>
  </si>
  <si>
    <t>Q14.2</t>
  </si>
  <si>
    <t>Q14.3</t>
  </si>
  <si>
    <t>732f</t>
  </si>
  <si>
    <t>DB162,DBB684</t>
  </si>
  <si>
    <t>I42.2</t>
  </si>
  <si>
    <t>I41.4</t>
  </si>
  <si>
    <t>I42.1</t>
  </si>
  <si>
    <t>Q17.0</t>
  </si>
  <si>
    <t>Q17.1</t>
  </si>
  <si>
    <t>734f</t>
  </si>
  <si>
    <t>DB162,DBB690</t>
  </si>
  <si>
    <t>I131.5</t>
  </si>
  <si>
    <t>I131.0</t>
  </si>
  <si>
    <t>I131.4</t>
  </si>
  <si>
    <t>Q56.0</t>
  </si>
  <si>
    <t>Q56.1</t>
  </si>
  <si>
    <t>阳离子自动加药装置</t>
  </si>
  <si>
    <t>735f</t>
  </si>
  <si>
    <t>DB162,DBB696</t>
  </si>
  <si>
    <t>I133.6</t>
  </si>
  <si>
    <t>I133.3</t>
  </si>
  <si>
    <t>I133.5</t>
  </si>
  <si>
    <t>Q56.7</t>
  </si>
  <si>
    <t>Q57.0</t>
  </si>
  <si>
    <t>阴离子自动加药装置</t>
  </si>
  <si>
    <t>736f</t>
  </si>
  <si>
    <t>DB162,DBB702</t>
  </si>
  <si>
    <t>I133.2</t>
  </si>
  <si>
    <t>I133.1</t>
  </si>
  <si>
    <t>Q56.5</t>
  </si>
  <si>
    <t>Q56.6</t>
  </si>
  <si>
    <t>737f</t>
  </si>
  <si>
    <t>DB162,DBB708</t>
  </si>
  <si>
    <t>I132.6</t>
  </si>
  <si>
    <t>I131.6</t>
  </si>
  <si>
    <t>I132.5</t>
  </si>
  <si>
    <t>Q56.3</t>
  </si>
  <si>
    <t>Q56.4</t>
  </si>
  <si>
    <t>产品仓下带式给煤机</t>
  </si>
  <si>
    <t>DB162,DBB714</t>
  </si>
  <si>
    <t>I130.7</t>
  </si>
  <si>
    <t>I130.2</t>
  </si>
  <si>
    <t>I130.6</t>
  </si>
  <si>
    <t>Q55.5</t>
  </si>
  <si>
    <t>Q55.6</t>
  </si>
  <si>
    <t>DB162,DBB720</t>
  </si>
  <si>
    <t>I130.1</t>
  </si>
  <si>
    <t>I129.4</t>
  </si>
  <si>
    <t>I130.0</t>
  </si>
  <si>
    <t>Q55.2</t>
  </si>
  <si>
    <t>Q55.3</t>
  </si>
  <si>
    <t>煤泥转载带式输送机</t>
  </si>
  <si>
    <t>DB162,DBB726</t>
  </si>
  <si>
    <t>I142.3</t>
  </si>
  <si>
    <t>I140.1</t>
  </si>
  <si>
    <t>I142.2</t>
  </si>
  <si>
    <t>Q60.5</t>
  </si>
  <si>
    <t>Q60.6</t>
  </si>
  <si>
    <t>DB162,DBB732</t>
  </si>
  <si>
    <t>I129.3</t>
  </si>
  <si>
    <t>I128.6</t>
  </si>
  <si>
    <t>I129.2</t>
  </si>
  <si>
    <t>Q54.7</t>
  </si>
  <si>
    <t>Q55.0</t>
  </si>
  <si>
    <t>浓缩车间电动葫芦</t>
  </si>
  <si>
    <t>DB162,DBB738</t>
  </si>
  <si>
    <t>I128.3</t>
  </si>
  <si>
    <t>I128.0</t>
  </si>
  <si>
    <t>I128.2</t>
  </si>
  <si>
    <t>Q54.2</t>
  </si>
  <si>
    <t>Q54.3</t>
  </si>
  <si>
    <t>浓缩机</t>
  </si>
  <si>
    <t>DB162,DBB744</t>
  </si>
  <si>
    <t>I127.5</t>
  </si>
  <si>
    <t>I127.2</t>
  </si>
  <si>
    <t>I127.4</t>
  </si>
  <si>
    <t>Q53.6</t>
  </si>
  <si>
    <t>Q53.7</t>
  </si>
  <si>
    <t>DB162,DBB750</t>
  </si>
  <si>
    <t>I126.7</t>
  </si>
  <si>
    <t>I126.2</t>
  </si>
  <si>
    <t>I126.6</t>
  </si>
  <si>
    <t>Q53.2</t>
  </si>
  <si>
    <t>Q53.3</t>
  </si>
  <si>
    <t>DB162,DBB756</t>
  </si>
  <si>
    <t>I126.1</t>
  </si>
  <si>
    <t>I125.4</t>
  </si>
  <si>
    <t>I126.0</t>
  </si>
  <si>
    <t>Q52.7</t>
  </si>
  <si>
    <t>Q53.0</t>
  </si>
  <si>
    <t>DB162,DBB762</t>
  </si>
  <si>
    <t>I125.3</t>
  </si>
  <si>
    <t>I124.6</t>
  </si>
  <si>
    <t>I125.2</t>
  </si>
  <si>
    <t>Q52.4</t>
  </si>
  <si>
    <t>Q52.5</t>
  </si>
  <si>
    <t>DB162,DBB768</t>
  </si>
  <si>
    <t>I124.5</t>
  </si>
  <si>
    <t>I124.0</t>
  </si>
  <si>
    <t>I124.4</t>
  </si>
  <si>
    <t>Q52.1</t>
  </si>
  <si>
    <t>Q52.2</t>
  </si>
  <si>
    <t>DB162,DBB774</t>
  </si>
  <si>
    <t>I142.7</t>
  </si>
  <si>
    <t>I142.4</t>
  </si>
  <si>
    <t>I142.6</t>
  </si>
  <si>
    <t>Q61.1</t>
  </si>
  <si>
    <t>Q61.2</t>
  </si>
  <si>
    <t>702B</t>
  </si>
  <si>
    <t>精煤采制样系统</t>
  </si>
  <si>
    <t>DB162,DBB780</t>
  </si>
  <si>
    <t>I136.7</t>
  </si>
  <si>
    <t>I136.4</t>
  </si>
  <si>
    <t>I136.6</t>
  </si>
  <si>
    <t>Q58.2</t>
  </si>
  <si>
    <t>Q58.3</t>
  </si>
  <si>
    <t>701B</t>
  </si>
  <si>
    <t>混煤采制样系统</t>
  </si>
  <si>
    <t>DB162,DBB786</t>
  </si>
  <si>
    <t>I136.3</t>
  </si>
  <si>
    <t>I136.0</t>
  </si>
  <si>
    <t>I136.2</t>
  </si>
  <si>
    <t>Q58.0</t>
  </si>
  <si>
    <t>Q58.1</t>
  </si>
  <si>
    <t>压榨水泵电源</t>
  </si>
  <si>
    <t>DB162,DBB792</t>
  </si>
  <si>
    <t>I138.7</t>
  </si>
  <si>
    <t>I138.4</t>
  </si>
  <si>
    <t>I138.6</t>
  </si>
  <si>
    <t>Q59.5</t>
  </si>
  <si>
    <t>Q59.6</t>
  </si>
  <si>
    <t>DB162,DBB798</t>
  </si>
  <si>
    <t>I139.7</t>
  </si>
  <si>
    <t>I139.2</t>
  </si>
  <si>
    <t>I139.6</t>
  </si>
  <si>
    <t>Q60.2</t>
  </si>
  <si>
    <t>Q60.3</t>
  </si>
  <si>
    <t>711b</t>
  </si>
  <si>
    <t>产品仓上块精煤分级筛</t>
  </si>
  <si>
    <t>DB162,DBB804</t>
  </si>
  <si>
    <t>711a</t>
  </si>
  <si>
    <t>DB162,DBB810</t>
  </si>
  <si>
    <t>DB162,DBB816</t>
  </si>
  <si>
    <t>DB162,DBB822</t>
  </si>
  <si>
    <t>DB162,DBB828</t>
  </si>
  <si>
    <t>DB162,DBB834</t>
  </si>
  <si>
    <t>精煤配仓闸门液压站</t>
  </si>
  <si>
    <t>DB162,DBB840</t>
  </si>
  <si>
    <t>DB162,DBB846</t>
  </si>
  <si>
    <t>DB162,DBB852</t>
  </si>
  <si>
    <t>DB162,DBB858</t>
  </si>
  <si>
    <t>DB162,DBB864</t>
  </si>
  <si>
    <t>I164.6</t>
  </si>
  <si>
    <t>I164.2</t>
  </si>
  <si>
    <t>I164.5</t>
  </si>
  <si>
    <t>Q74.1</t>
  </si>
  <si>
    <t>Q74.2</t>
  </si>
  <si>
    <t>AA1</t>
  </si>
  <si>
    <t>消防泵房电源</t>
  </si>
  <si>
    <t>DB162,DBB870</t>
  </si>
  <si>
    <t>电动双梁起重机</t>
  </si>
  <si>
    <t>DB162,DBB876</t>
  </si>
  <si>
    <t>1AP</t>
  </si>
  <si>
    <t>主厂房照明电源</t>
  </si>
  <si>
    <t>DB162,DBB882</t>
  </si>
  <si>
    <t>1ACL-Z</t>
  </si>
  <si>
    <t>产品仓应激照明总电源</t>
  </si>
  <si>
    <t>DB162,DBB888</t>
  </si>
  <si>
    <t>PSB2X11</t>
  </si>
  <si>
    <t>原煤储煤场下消防排水泵</t>
  </si>
  <si>
    <t>DB162,DBB894</t>
  </si>
  <si>
    <t>AP1</t>
  </si>
  <si>
    <t>办公楼电源</t>
  </si>
  <si>
    <t>DB162,DBB900</t>
  </si>
  <si>
    <t>HRJZ1X</t>
  </si>
  <si>
    <t>高区换热机组电源</t>
  </si>
  <si>
    <t>DB162,DBB906</t>
  </si>
  <si>
    <t>AA3</t>
  </si>
  <si>
    <t>DB162,DBB912</t>
  </si>
  <si>
    <t>31M4X</t>
  </si>
  <si>
    <t>变电所照明电源</t>
  </si>
  <si>
    <t>DB162,DBB918</t>
  </si>
  <si>
    <t>1AL-1</t>
  </si>
  <si>
    <t>原煤缓冲仓照明总电源</t>
  </si>
  <si>
    <t>DB162,DBB924</t>
  </si>
  <si>
    <t>31AP1</t>
  </si>
  <si>
    <t>煤样室电源</t>
  </si>
  <si>
    <t>DB162,DBB930</t>
  </si>
  <si>
    <t>NSMX</t>
  </si>
  <si>
    <t>浓缩车间照明电源</t>
  </si>
  <si>
    <t>DB162,DBB936</t>
  </si>
  <si>
    <t>XFP1</t>
  </si>
  <si>
    <t>消防炮电源</t>
  </si>
  <si>
    <t>DB162,DBB942</t>
  </si>
  <si>
    <t>XFP2</t>
  </si>
  <si>
    <t>DB162,DBB948</t>
  </si>
  <si>
    <t>XFP3</t>
  </si>
  <si>
    <t>DB162,DBB954</t>
  </si>
  <si>
    <t>PLCA1</t>
  </si>
  <si>
    <t>控制电源</t>
  </si>
  <si>
    <t>DB162,DBB960</t>
  </si>
  <si>
    <t>31AP3</t>
  </si>
  <si>
    <t>配电箱电源</t>
  </si>
  <si>
    <t>DB162,DBB966</t>
  </si>
  <si>
    <t>31WYB</t>
  </si>
  <si>
    <t>消防增压稳压水泵</t>
  </si>
  <si>
    <t>DB162,DBB972</t>
  </si>
  <si>
    <t>RSJZX</t>
  </si>
  <si>
    <t>生活热水机组电源</t>
  </si>
  <si>
    <t>DB162,DBB978</t>
  </si>
  <si>
    <t>JHZMX</t>
  </si>
  <si>
    <t>热交换站照明电源</t>
  </si>
  <si>
    <t>DB162,DBB984</t>
  </si>
  <si>
    <t>矸石仓那照明总电源</t>
  </si>
  <si>
    <t>DB162,DBB990</t>
  </si>
  <si>
    <t>控制电源PLCA1</t>
  </si>
  <si>
    <t>DB162,DBB996</t>
  </si>
  <si>
    <t>消防泵房电源AA3</t>
  </si>
  <si>
    <t>DB162,DBB1002</t>
  </si>
  <si>
    <t>11AP</t>
  </si>
  <si>
    <t>管状皮带检修电源</t>
  </si>
  <si>
    <t>DB162,DBB1008</t>
  </si>
  <si>
    <t>消防增压稳压水泵1</t>
  </si>
  <si>
    <t>DB162,DBB1014</t>
  </si>
  <si>
    <t>PSB</t>
  </si>
  <si>
    <t>原煤储煤场消防排水泵</t>
  </si>
  <si>
    <t>DB162,DBB1020</t>
  </si>
  <si>
    <t>产品仓应激照明总电源1</t>
  </si>
  <si>
    <t>DB162,DBB1026</t>
  </si>
  <si>
    <t>1AL-Z</t>
  </si>
  <si>
    <t>产品仓照明总电源</t>
  </si>
  <si>
    <t>DB162,DBB1032</t>
  </si>
  <si>
    <t>主厂房照明电源1</t>
  </si>
  <si>
    <t>DB162,DBB1038</t>
  </si>
  <si>
    <t>HRJZ2X</t>
  </si>
  <si>
    <t>低区换热机组电源</t>
  </si>
  <si>
    <t>DB162,DBB1044</t>
  </si>
  <si>
    <t>消防泵房电源1</t>
  </si>
  <si>
    <t>DB162,DBB1050</t>
  </si>
  <si>
    <t>11M2X</t>
  </si>
  <si>
    <t>储煤场上照明电源1</t>
  </si>
  <si>
    <t>DB162,DBB1056</t>
  </si>
  <si>
    <t>11M1X</t>
  </si>
  <si>
    <t>储煤场下照明电源1</t>
  </si>
  <si>
    <t>DB162,DBB1062</t>
  </si>
  <si>
    <t>JXCJX</t>
  </si>
  <si>
    <t>机修车间电源1</t>
  </si>
  <si>
    <t>DB162,DBB1068</t>
  </si>
  <si>
    <t>YSC</t>
  </si>
  <si>
    <t>DB162,DBB1074</t>
  </si>
  <si>
    <t>DB162,DBB1080</t>
  </si>
  <si>
    <t>I184.3</t>
  </si>
  <si>
    <t>I184.0</t>
  </si>
  <si>
    <t>I184.2</t>
  </si>
  <si>
    <t>Q85.0</t>
  </si>
  <si>
    <t>Q85.1</t>
  </si>
  <si>
    <t>DB162,DBB1086</t>
  </si>
  <si>
    <t>DB162,DBB1092</t>
  </si>
  <si>
    <t>I188.3</t>
  </si>
  <si>
    <t>I188.0</t>
  </si>
  <si>
    <t>I188.2</t>
  </si>
  <si>
    <t>Q88.0</t>
  </si>
  <si>
    <t>Q88.1</t>
  </si>
  <si>
    <t>DB162,DBB1098</t>
  </si>
  <si>
    <t>DB162,DBB1104</t>
  </si>
  <si>
    <t>I169.6</t>
  </si>
  <si>
    <t>I168.6</t>
  </si>
  <si>
    <t>I169.5</t>
  </si>
  <si>
    <t>Q77.5</t>
  </si>
  <si>
    <t>Q77.6</t>
  </si>
  <si>
    <t>DB162,DBB1110</t>
  </si>
  <si>
    <t>I170.7</t>
  </si>
  <si>
    <t>I169.7</t>
  </si>
  <si>
    <t>I170.6</t>
  </si>
  <si>
    <t>Q78.0</t>
  </si>
  <si>
    <t>Q78.1</t>
  </si>
  <si>
    <t>DB162,DBB1116</t>
  </si>
  <si>
    <t>I171.5</t>
  </si>
  <si>
    <t>I171.0</t>
  </si>
  <si>
    <t>I171.4</t>
  </si>
  <si>
    <t>Q78.3</t>
  </si>
  <si>
    <t>Q78.4</t>
  </si>
  <si>
    <t>DB162,DBB1122</t>
  </si>
  <si>
    <t>I172.3</t>
  </si>
  <si>
    <t>I171.6</t>
  </si>
  <si>
    <t>I172.2</t>
  </si>
  <si>
    <t>Q78.6</t>
  </si>
  <si>
    <t>Q78.7</t>
  </si>
  <si>
    <t>DB162,DBB1128</t>
  </si>
  <si>
    <t>I173.1</t>
  </si>
  <si>
    <t>I172.4</t>
  </si>
  <si>
    <t>I173.0</t>
  </si>
  <si>
    <t>Q79.1</t>
  </si>
  <si>
    <t>Q79.2</t>
  </si>
  <si>
    <t>DB162,DBB1134</t>
  </si>
  <si>
    <t>I173.7</t>
  </si>
  <si>
    <t>I173.2</t>
  </si>
  <si>
    <t>I173.6</t>
  </si>
  <si>
    <t>Q79.4</t>
  </si>
  <si>
    <t>Q79.5</t>
  </si>
  <si>
    <t>DB162,DBB1140</t>
  </si>
  <si>
    <t>I174.5</t>
  </si>
  <si>
    <t>I174.0</t>
  </si>
  <si>
    <t>I174.4</t>
  </si>
  <si>
    <t>Q79.7</t>
  </si>
  <si>
    <t>Q80.0</t>
  </si>
  <si>
    <t>DB162,DBB1146</t>
  </si>
  <si>
    <t>I175.3</t>
  </si>
  <si>
    <t>I174.6</t>
  </si>
  <si>
    <t>I175.2</t>
  </si>
  <si>
    <t>Q80.2</t>
  </si>
  <si>
    <t>Q80.3</t>
  </si>
  <si>
    <t>DB162,DBB1152</t>
  </si>
  <si>
    <t>I176.1</t>
  </si>
  <si>
    <t>I175.4</t>
  </si>
  <si>
    <t>I176.0</t>
  </si>
  <si>
    <t>Q80.5</t>
  </si>
  <si>
    <t>Q80.6</t>
  </si>
  <si>
    <t>DB162,DBB1158</t>
  </si>
  <si>
    <t>I176.7</t>
  </si>
  <si>
    <t>I176.2</t>
  </si>
  <si>
    <t>I176.6</t>
  </si>
  <si>
    <t>Q81.0</t>
  </si>
  <si>
    <t>Q81.1</t>
  </si>
  <si>
    <t>DB162,DBB1164</t>
  </si>
  <si>
    <t>I178.5</t>
  </si>
  <si>
    <t>I178.0</t>
  </si>
  <si>
    <t>I178.4</t>
  </si>
  <si>
    <t>Q82.1</t>
  </si>
  <si>
    <t>Q82.2</t>
  </si>
  <si>
    <t>DB162,DBB1170</t>
  </si>
  <si>
    <t>I179.3</t>
  </si>
  <si>
    <t>I178.6</t>
  </si>
  <si>
    <t>I179.2</t>
  </si>
  <si>
    <t>Q82.4</t>
  </si>
  <si>
    <t>Q82.5</t>
  </si>
  <si>
    <t>DB162,DBB1176</t>
  </si>
  <si>
    <t>I180.1</t>
  </si>
  <si>
    <t>I179.4</t>
  </si>
  <si>
    <t>I180.0</t>
  </si>
  <si>
    <t>Q82.7</t>
  </si>
  <si>
    <t>Q83.0</t>
  </si>
  <si>
    <t>DB162,DBB1182</t>
  </si>
  <si>
    <t>I180.7</t>
  </si>
  <si>
    <t>I180.2</t>
  </si>
  <si>
    <t>I180.6</t>
  </si>
  <si>
    <t>Q83.2</t>
  </si>
  <si>
    <t>Q83.3</t>
  </si>
  <si>
    <t>733f</t>
  </si>
  <si>
    <t>DB162,DBB1188</t>
  </si>
  <si>
    <t>I181.5</t>
  </si>
  <si>
    <t>I181.0</t>
  </si>
  <si>
    <t>I181.4</t>
  </si>
  <si>
    <t>Q83.5</t>
  </si>
  <si>
    <t>Q83.6</t>
  </si>
  <si>
    <t>DB162,DBB1194</t>
  </si>
  <si>
    <t>I182.3</t>
  </si>
  <si>
    <t>I181.6</t>
  </si>
  <si>
    <t>I182.2</t>
  </si>
  <si>
    <t>Q84.0</t>
  </si>
  <si>
    <t>Q84.1</t>
  </si>
  <si>
    <t>DB162,DBB1200</t>
  </si>
  <si>
    <t>I183.1</t>
  </si>
  <si>
    <t>I182.4</t>
  </si>
  <si>
    <t>I183.0</t>
  </si>
  <si>
    <t>Q84.3</t>
  </si>
  <si>
    <t>Q84.4</t>
  </si>
  <si>
    <t>DB162,DBB1206</t>
  </si>
  <si>
    <t>I183.7</t>
  </si>
  <si>
    <t>I183.6</t>
  </si>
  <si>
    <t>Q84.6</t>
  </si>
  <si>
    <t>Q84.7</t>
  </si>
  <si>
    <t>DB162,DBB1212</t>
  </si>
  <si>
    <t>DB162,DBB1218</t>
  </si>
  <si>
    <t>I191.6</t>
  </si>
  <si>
    <t>I191.2</t>
  </si>
  <si>
    <t>I191.5</t>
  </si>
  <si>
    <t>Q90.5</t>
  </si>
  <si>
    <t>Q90.6</t>
  </si>
  <si>
    <t>DB162,DBB1224</t>
  </si>
  <si>
    <t>I192.3</t>
  </si>
  <si>
    <t>I191.7</t>
  </si>
  <si>
    <t>I192.2</t>
  </si>
  <si>
    <t>Q91.0</t>
  </si>
  <si>
    <t>Q91.1</t>
  </si>
  <si>
    <t>DB162,DBB1230</t>
  </si>
  <si>
    <t>I193.0</t>
  </si>
  <si>
    <t>I192.4</t>
  </si>
  <si>
    <t>I192.7</t>
  </si>
  <si>
    <t>Q91.3</t>
  </si>
  <si>
    <t>Q91.4</t>
  </si>
  <si>
    <t>DB162,DBB1236</t>
  </si>
  <si>
    <t>I193.5</t>
  </si>
  <si>
    <t>I193.1</t>
  </si>
  <si>
    <t>I193.4</t>
  </si>
  <si>
    <t>Q91.6</t>
  </si>
  <si>
    <t>Q91.7</t>
  </si>
  <si>
    <t>DB162,DBB1242</t>
  </si>
  <si>
    <t>I194.2</t>
  </si>
  <si>
    <t>I193.6</t>
  </si>
  <si>
    <t>I194.1</t>
  </si>
  <si>
    <t>Q92.1</t>
  </si>
  <si>
    <t>Q92.2</t>
  </si>
  <si>
    <t>DB162,DBB1248</t>
  </si>
  <si>
    <t>I194.7</t>
  </si>
  <si>
    <t>I194.6</t>
  </si>
  <si>
    <t>Q92.4</t>
  </si>
  <si>
    <t>Q92.5</t>
  </si>
  <si>
    <t>DB162,DBB1254</t>
  </si>
  <si>
    <t>I195.4</t>
  </si>
  <si>
    <t>I195.0</t>
  </si>
  <si>
    <t>I195.3</t>
  </si>
  <si>
    <t>Q92.7</t>
  </si>
  <si>
    <t>Q93.0</t>
  </si>
  <si>
    <t>DB162,DBB1260</t>
  </si>
  <si>
    <t>I196.1</t>
  </si>
  <si>
    <t>I195.5</t>
  </si>
  <si>
    <t>I196.0</t>
  </si>
  <si>
    <t>Q93.2</t>
  </si>
  <si>
    <t>Q93.3</t>
  </si>
  <si>
    <t>DB162,DBB1266</t>
  </si>
  <si>
    <t>I196.6</t>
  </si>
  <si>
    <t>I196.2</t>
  </si>
  <si>
    <t>I196.5</t>
  </si>
  <si>
    <t>Q93.5</t>
  </si>
  <si>
    <t>Q93.6</t>
  </si>
  <si>
    <t>DB162,DBB1272</t>
  </si>
  <si>
    <t>I197.3</t>
  </si>
  <si>
    <t>I196.7</t>
  </si>
  <si>
    <t>I197.2</t>
  </si>
  <si>
    <t>Q94.0</t>
  </si>
  <si>
    <t>Q94.1</t>
  </si>
  <si>
    <t>DB162,DBB1278</t>
  </si>
  <si>
    <t>I198.4</t>
  </si>
  <si>
    <t>I198.0</t>
  </si>
  <si>
    <t>I198.3</t>
  </si>
  <si>
    <t>Q94.3</t>
  </si>
  <si>
    <t>Q94.4</t>
  </si>
  <si>
    <t>DB162,DBB1284</t>
  </si>
  <si>
    <t>I199.1</t>
  </si>
  <si>
    <t>I198.5</t>
  </si>
  <si>
    <t>I199.0</t>
  </si>
  <si>
    <t>Q94.6</t>
  </si>
  <si>
    <t>Q94.7</t>
  </si>
  <si>
    <t>DB162,DBB1290</t>
  </si>
  <si>
    <t>I199.6</t>
  </si>
  <si>
    <t>I199.2</t>
  </si>
  <si>
    <t>I199.5</t>
  </si>
  <si>
    <t>Q96.1</t>
  </si>
  <si>
    <t>Q96.2</t>
  </si>
  <si>
    <t>DB162,DBB1296</t>
  </si>
  <si>
    <t>I200.3</t>
  </si>
  <si>
    <t>I199.7</t>
  </si>
  <si>
    <t>I200.2</t>
  </si>
  <si>
    <t>Q96.4</t>
  </si>
  <si>
    <t>Q96.5</t>
  </si>
  <si>
    <t>DB162,DBB1302</t>
  </si>
  <si>
    <t>I201.0</t>
  </si>
  <si>
    <t>I200.4</t>
  </si>
  <si>
    <t>I200.7</t>
  </si>
  <si>
    <t>Q96.7</t>
  </si>
  <si>
    <t>Q97.0</t>
  </si>
  <si>
    <t>DB162,DBB1308</t>
  </si>
  <si>
    <t>I201.5</t>
  </si>
  <si>
    <t>I201.1</t>
  </si>
  <si>
    <t>I201.4</t>
  </si>
  <si>
    <t>Q97.2</t>
  </si>
  <si>
    <t>Q97.3</t>
  </si>
  <si>
    <t xml:space="preserve"> "远程分合闸".YCFHZ[0].iYC := </t>
  </si>
  <si>
    <t>404_远程/就地</t>
  </si>
  <si>
    <t>;</t>
  </si>
  <si>
    <t xml:space="preserve"> "远程分合闸".YCFHZ[1].iYC := </t>
  </si>
  <si>
    <t>301_远程/就地</t>
  </si>
  <si>
    <t xml:space="preserve"> "远程分合闸".YCFHZ[2].iYC := </t>
  </si>
  <si>
    <t>121_远程/就地</t>
  </si>
  <si>
    <t xml:space="preserve"> "远程分合闸".YCFHZ[3].iYC := </t>
  </si>
  <si>
    <t>_远程/就地</t>
  </si>
  <si>
    <t xml:space="preserve"> "远程分合闸".YCFHZ[4].iYC := </t>
  </si>
  <si>
    <t xml:space="preserve"> "远程分合闸".YCFHZ[5].iYC := </t>
  </si>
  <si>
    <t xml:space="preserve"> "远程分合闸".YCFHZ[6].iYC := </t>
  </si>
  <si>
    <t xml:space="preserve"> "远程分合闸".YCFHZ[7].iYC := </t>
  </si>
  <si>
    <t xml:space="preserve"> "远程分合闸".YCFHZ[8].iYC := </t>
  </si>
  <si>
    <t xml:space="preserve"> "远程分合闸".YCFHZ[0].iYC :=404_远程/就地;</t>
  </si>
  <si>
    <t xml:space="preserve"> "远程分合闸".YCFHZ[1].iYC :=301_远程/就地;</t>
  </si>
  <si>
    <t xml:space="preserve"> "远程分合闸".YCFHZ[2].iYC :=121_远程/就地;</t>
  </si>
  <si>
    <t>404合闸</t>
  </si>
  <si>
    <t>404分闸</t>
  </si>
  <si>
    <t>301合闸</t>
  </si>
  <si>
    <t>301分闸</t>
  </si>
  <si>
    <t>121合闸</t>
  </si>
  <si>
    <t>121分闸</t>
  </si>
  <si>
    <t>远程/就地c1</t>
  </si>
  <si>
    <t>电源c2</t>
  </si>
  <si>
    <t>抽屉工作位c3</t>
  </si>
  <si>
    <t>合闸c4</t>
  </si>
  <si>
    <t>分闸c5</t>
  </si>
  <si>
    <t>C1</t>
  </si>
  <si>
    <t>C2</t>
  </si>
  <si>
    <t>C3</t>
  </si>
  <si>
    <t>C4</t>
  </si>
  <si>
    <t>C5</t>
  </si>
  <si>
    <t>7</t>
  </si>
  <si>
    <t>00</t>
  </si>
  <si>
    <t>6</t>
  </si>
  <si>
    <t>1</t>
  </si>
  <si>
    <t>2</t>
  </si>
  <si>
    <t>50</t>
  </si>
  <si>
    <t>17</t>
  </si>
  <si>
    <t>47</t>
  </si>
  <si>
    <t>07</t>
  </si>
  <si>
    <t>10</t>
  </si>
  <si>
    <t>77</t>
  </si>
  <si>
    <t>51</t>
  </si>
  <si>
    <t>76</t>
  </si>
  <si>
    <t>15</t>
  </si>
  <si>
    <t>16</t>
  </si>
  <si>
    <t>106</t>
  </si>
  <si>
    <t>80</t>
  </si>
  <si>
    <t>105</t>
  </si>
  <si>
    <t>22</t>
  </si>
  <si>
    <t>23</t>
  </si>
  <si>
    <t>14</t>
  </si>
  <si>
    <t>04</t>
  </si>
  <si>
    <t>05</t>
  </si>
  <si>
    <t>120</t>
  </si>
  <si>
    <t>107</t>
  </si>
  <si>
    <t>117</t>
  </si>
  <si>
    <t>31</t>
  </si>
  <si>
    <t>32</t>
  </si>
  <si>
    <t>134</t>
  </si>
  <si>
    <t>123</t>
  </si>
  <si>
    <t>133</t>
  </si>
  <si>
    <t>36</t>
  </si>
  <si>
    <t>37</t>
  </si>
  <si>
    <t>165</t>
  </si>
  <si>
    <t>160</t>
  </si>
  <si>
    <t>164</t>
  </si>
  <si>
    <t>41</t>
  </si>
  <si>
    <t>42</t>
  </si>
  <si>
    <t>180</t>
  </si>
  <si>
    <t>167</t>
  </si>
  <si>
    <t>177</t>
  </si>
  <si>
    <t>46</t>
  </si>
  <si>
    <t>194</t>
  </si>
  <si>
    <t>183</t>
  </si>
  <si>
    <t>193</t>
  </si>
  <si>
    <t>53</t>
  </si>
  <si>
    <t>54</t>
  </si>
  <si>
    <t>206</t>
  </si>
  <si>
    <t>203</t>
  </si>
  <si>
    <t>205</t>
  </si>
  <si>
    <t>57</t>
  </si>
  <si>
    <t>60</t>
  </si>
  <si>
    <t>212</t>
  </si>
  <si>
    <t>207</t>
  </si>
  <si>
    <t>211</t>
  </si>
  <si>
    <t>61</t>
  </si>
  <si>
    <t>62</t>
  </si>
  <si>
    <t>216</t>
  </si>
  <si>
    <t>213</t>
  </si>
  <si>
    <t>215</t>
  </si>
  <si>
    <t>63</t>
  </si>
  <si>
    <t>64</t>
  </si>
  <si>
    <t>570</t>
  </si>
  <si>
    <t>540</t>
  </si>
  <si>
    <t>567</t>
  </si>
  <si>
    <t>221</t>
  </si>
  <si>
    <t>222</t>
  </si>
  <si>
    <t>593</t>
  </si>
  <si>
    <t>571</t>
  </si>
  <si>
    <t>592</t>
  </si>
  <si>
    <t>226</t>
  </si>
  <si>
    <t>227</t>
  </si>
  <si>
    <t>217</t>
  </si>
  <si>
    <t>65</t>
  </si>
  <si>
    <t>66</t>
  </si>
  <si>
    <t>231</t>
  </si>
  <si>
    <t>230</t>
  </si>
  <si>
    <t>70</t>
  </si>
  <si>
    <t>71</t>
  </si>
  <si>
    <t>235</t>
  </si>
  <si>
    <t>232</t>
  </si>
  <si>
    <t>234</t>
  </si>
  <si>
    <t>72</t>
  </si>
  <si>
    <t>73</t>
  </si>
  <si>
    <t>652</t>
  </si>
  <si>
    <t>647</t>
  </si>
  <si>
    <t>651</t>
  </si>
  <si>
    <t>261</t>
  </si>
  <si>
    <t>262</t>
  </si>
  <si>
    <t>246</t>
  </si>
  <si>
    <t>236</t>
  </si>
  <si>
    <t>245</t>
  </si>
  <si>
    <t>75</t>
  </si>
  <si>
    <t>890</t>
  </si>
  <si>
    <t>861</t>
  </si>
  <si>
    <t>887</t>
  </si>
  <si>
    <t>340</t>
  </si>
  <si>
    <t>341</t>
  </si>
  <si>
    <t>264</t>
  </si>
  <si>
    <t>271</t>
  </si>
  <si>
    <t>91</t>
  </si>
  <si>
    <t>92</t>
  </si>
  <si>
    <t>272</t>
  </si>
  <si>
    <t>267</t>
  </si>
  <si>
    <t>94</t>
  </si>
  <si>
    <t>95</t>
  </si>
  <si>
    <t>601</t>
  </si>
  <si>
    <t>594</t>
  </si>
  <si>
    <t>600</t>
  </si>
  <si>
    <t>233</t>
  </si>
  <si>
    <t>607</t>
  </si>
  <si>
    <t>602</t>
  </si>
  <si>
    <t>606</t>
  </si>
  <si>
    <t>237</t>
  </si>
  <si>
    <t>620</t>
  </si>
  <si>
    <t>610</t>
  </si>
  <si>
    <t>617</t>
  </si>
  <si>
    <t>241</t>
  </si>
  <si>
    <t>242</t>
  </si>
  <si>
    <t>626</t>
  </si>
  <si>
    <t>621</t>
  </si>
  <si>
    <t>625</t>
  </si>
  <si>
    <t>244</t>
  </si>
  <si>
    <t>634</t>
  </si>
  <si>
    <t>627</t>
  </si>
  <si>
    <t>633</t>
  </si>
  <si>
    <t>247</t>
  </si>
  <si>
    <t>250</t>
  </si>
  <si>
    <t>665</t>
  </si>
  <si>
    <t>662</t>
  </si>
  <si>
    <t>664</t>
  </si>
  <si>
    <t>270</t>
  </si>
  <si>
    <t>923</t>
  </si>
  <si>
    <t>920</t>
  </si>
  <si>
    <t>922</t>
  </si>
  <si>
    <t>360</t>
  </si>
  <si>
    <t>361</t>
  </si>
  <si>
    <t>941</t>
  </si>
  <si>
    <t>936</t>
  </si>
  <si>
    <t>940</t>
  </si>
  <si>
    <t>366</t>
  </si>
  <si>
    <t>367</t>
  </si>
  <si>
    <t>640</t>
  </si>
  <si>
    <t>635</t>
  </si>
  <si>
    <t>637</t>
  </si>
  <si>
    <t>251</t>
  </si>
  <si>
    <t>252</t>
  </si>
  <si>
    <t>957</t>
  </si>
  <si>
    <t>954</t>
  </si>
  <si>
    <t>956</t>
  </si>
  <si>
    <t>374</t>
  </si>
  <si>
    <t>375</t>
  </si>
  <si>
    <t>707</t>
  </si>
  <si>
    <t>702</t>
  </si>
  <si>
    <t>706</t>
  </si>
  <si>
    <t>287</t>
  </si>
  <si>
    <t>290</t>
  </si>
  <si>
    <t>690</t>
  </si>
  <si>
    <t>680</t>
  </si>
  <si>
    <t>687</t>
  </si>
  <si>
    <t>281</t>
  </si>
  <si>
    <t>282</t>
  </si>
  <si>
    <t>701</t>
  </si>
  <si>
    <t>691</t>
  </si>
  <si>
    <t>700</t>
  </si>
  <si>
    <t>284</t>
  </si>
  <si>
    <t>285</t>
  </si>
  <si>
    <t>304/A排料溜槽电液动闸门</t>
  </si>
  <si>
    <t>731</t>
  </si>
  <si>
    <t>720</t>
  </si>
  <si>
    <t>730</t>
  </si>
  <si>
    <t>297</t>
  </si>
  <si>
    <t>300</t>
  </si>
  <si>
    <t>303/A排料溜槽电液动闸门</t>
  </si>
  <si>
    <t>745</t>
  </si>
  <si>
    <t>734</t>
  </si>
  <si>
    <t>744</t>
  </si>
  <si>
    <t>303</t>
  </si>
  <si>
    <t>304</t>
  </si>
  <si>
    <t>302电磁除铁器</t>
  </si>
  <si>
    <t>713</t>
  </si>
  <si>
    <t>710</t>
  </si>
  <si>
    <t>712</t>
  </si>
  <si>
    <t>291</t>
  </si>
  <si>
    <t>292</t>
  </si>
  <si>
    <t>304原煤分级筛</t>
  </si>
  <si>
    <t>755</t>
  </si>
  <si>
    <t>750</t>
  </si>
  <si>
    <t>754</t>
  </si>
  <si>
    <t>306</t>
  </si>
  <si>
    <t>307</t>
  </si>
  <si>
    <t>303原煤分级筛</t>
  </si>
  <si>
    <t>765</t>
  </si>
  <si>
    <t>760</t>
  </si>
  <si>
    <t>764</t>
  </si>
  <si>
    <t>311</t>
  </si>
  <si>
    <t>312</t>
  </si>
  <si>
    <t>310y块精煤离心机油泵电机</t>
  </si>
  <si>
    <t>775</t>
  </si>
  <si>
    <t>770</t>
  </si>
  <si>
    <t>774</t>
  </si>
  <si>
    <t>314</t>
  </si>
  <si>
    <t>315</t>
  </si>
  <si>
    <t>309y块精煤离心机油泵电机</t>
  </si>
  <si>
    <t>974</t>
  </si>
  <si>
    <t>967</t>
  </si>
  <si>
    <t>973</t>
  </si>
  <si>
    <t>384</t>
  </si>
  <si>
    <t>385</t>
  </si>
  <si>
    <t>310Z1块煤离心机振动电机</t>
  </si>
  <si>
    <t>310z2块煤离心机振动电机</t>
  </si>
  <si>
    <t>310块精煤离心机</t>
  </si>
  <si>
    <t>896</t>
  </si>
  <si>
    <t>891</t>
  </si>
  <si>
    <t>895</t>
  </si>
  <si>
    <t>346</t>
  </si>
  <si>
    <t>347</t>
  </si>
  <si>
    <t>309块精煤离心机</t>
  </si>
  <si>
    <t>983</t>
  </si>
  <si>
    <t>976</t>
  </si>
  <si>
    <t>982</t>
  </si>
  <si>
    <t>387</t>
  </si>
  <si>
    <t>390</t>
  </si>
  <si>
    <t>357除尘清水管道泵</t>
  </si>
  <si>
    <t>1045</t>
  </si>
  <si>
    <t>1040</t>
  </si>
  <si>
    <t>1044</t>
  </si>
  <si>
    <t>421</t>
  </si>
  <si>
    <t>422</t>
  </si>
  <si>
    <t>319块煤稀介磁选机</t>
  </si>
  <si>
    <t>1053</t>
  </si>
  <si>
    <t>1046</t>
  </si>
  <si>
    <t>1052</t>
  </si>
  <si>
    <t>424</t>
  </si>
  <si>
    <t>425</t>
  </si>
  <si>
    <t>318块煤筛介磁选机</t>
  </si>
  <si>
    <t>1061</t>
  </si>
  <si>
    <t>1054</t>
  </si>
  <si>
    <t>1060</t>
  </si>
  <si>
    <t>427</t>
  </si>
  <si>
    <t>430</t>
  </si>
  <si>
    <t>317块煤稀介磁选机</t>
  </si>
  <si>
    <t>1067</t>
  </si>
  <si>
    <t>1062</t>
  </si>
  <si>
    <t>1066</t>
  </si>
  <si>
    <t>432</t>
  </si>
  <si>
    <t>433</t>
  </si>
  <si>
    <t>320末煤收集刮板输送机</t>
  </si>
  <si>
    <t>1082</t>
  </si>
  <si>
    <t>1070</t>
  </si>
  <si>
    <t>1081</t>
  </si>
  <si>
    <t>436</t>
  </si>
  <si>
    <t>437</t>
  </si>
  <si>
    <t>321末煤转载刮板输送机</t>
  </si>
  <si>
    <t>1095</t>
  </si>
  <si>
    <t>1083</t>
  </si>
  <si>
    <t>1094</t>
  </si>
  <si>
    <t>442</t>
  </si>
  <si>
    <t>443</t>
  </si>
  <si>
    <t>326电动葫芦</t>
  </si>
  <si>
    <t>1437</t>
  </si>
  <si>
    <t>1434</t>
  </si>
  <si>
    <t>1436</t>
  </si>
  <si>
    <t>327中介系统排污泵</t>
  </si>
  <si>
    <t>1122</t>
  </si>
  <si>
    <t>1112</t>
  </si>
  <si>
    <t>1121</t>
  </si>
  <si>
    <t>461</t>
  </si>
  <si>
    <t>462</t>
  </si>
  <si>
    <t>307浅槽分选机</t>
  </si>
  <si>
    <t>1133</t>
  </si>
  <si>
    <t>1123</t>
  </si>
  <si>
    <t>1132</t>
  </si>
  <si>
    <t>465</t>
  </si>
  <si>
    <t>466</t>
  </si>
  <si>
    <t>306块煤脱泥筛</t>
  </si>
  <si>
    <t>1141</t>
  </si>
  <si>
    <t>1134</t>
  </si>
  <si>
    <t>1140</t>
  </si>
  <si>
    <t>470</t>
  </si>
  <si>
    <t>471</t>
  </si>
  <si>
    <t>305块煤脱泥筛</t>
  </si>
  <si>
    <t>1147</t>
  </si>
  <si>
    <t>1142</t>
  </si>
  <si>
    <t>1146</t>
  </si>
  <si>
    <t>473</t>
  </si>
  <si>
    <t>474</t>
  </si>
  <si>
    <t>323B加介泵</t>
  </si>
  <si>
    <t>1165</t>
  </si>
  <si>
    <t>1160</t>
  </si>
  <si>
    <t>1164</t>
  </si>
  <si>
    <t>481</t>
  </si>
  <si>
    <t>482</t>
  </si>
  <si>
    <t>323A加介泵</t>
  </si>
  <si>
    <t>1177</t>
  </si>
  <si>
    <t>1166</t>
  </si>
  <si>
    <t>1176</t>
  </si>
  <si>
    <t>484</t>
  </si>
  <si>
    <t>485</t>
  </si>
  <si>
    <t>SWQ2降尘射雾器</t>
  </si>
  <si>
    <t>1187</t>
  </si>
  <si>
    <t>1184</t>
  </si>
  <si>
    <t>1186</t>
  </si>
  <si>
    <t>491</t>
  </si>
  <si>
    <t>492</t>
  </si>
  <si>
    <t>SWQ1降尘射雾器</t>
  </si>
  <si>
    <t>1174</t>
  </si>
  <si>
    <t>486</t>
  </si>
  <si>
    <t>487</t>
  </si>
  <si>
    <t>310/A排料溜槽电液动闸门</t>
  </si>
  <si>
    <t>1205</t>
  </si>
  <si>
    <t>1194</t>
  </si>
  <si>
    <t>1204</t>
  </si>
  <si>
    <t>496</t>
  </si>
  <si>
    <t>497</t>
  </si>
  <si>
    <t>309/A排料溜槽电液动闸门</t>
  </si>
  <si>
    <t>1221</t>
  </si>
  <si>
    <t>1210</t>
  </si>
  <si>
    <t>1220</t>
  </si>
  <si>
    <t>502</t>
  </si>
  <si>
    <t>503</t>
  </si>
  <si>
    <t>312块矸石脱介筛</t>
  </si>
  <si>
    <t>1007</t>
  </si>
  <si>
    <t>1002</t>
  </si>
  <si>
    <t>1006</t>
  </si>
  <si>
    <t>401</t>
  </si>
  <si>
    <t>402</t>
  </si>
  <si>
    <t>308B块精煤脱介筛</t>
  </si>
  <si>
    <t>505</t>
  </si>
  <si>
    <t>506</t>
  </si>
  <si>
    <t>308A块精煤脱介筛</t>
  </si>
  <si>
    <t>902f带式给煤机风扇电机</t>
  </si>
  <si>
    <t>1015</t>
  </si>
  <si>
    <t>1010</t>
  </si>
  <si>
    <t>1014</t>
  </si>
  <si>
    <t>404</t>
  </si>
  <si>
    <t>405</t>
  </si>
  <si>
    <t>903f带式给煤机风扇电机</t>
  </si>
  <si>
    <t>1023</t>
  </si>
  <si>
    <t>1016</t>
  </si>
  <si>
    <t>1022</t>
  </si>
  <si>
    <t>407</t>
  </si>
  <si>
    <t>410</t>
  </si>
  <si>
    <t>127f带式给煤机风扇电机</t>
  </si>
  <si>
    <t>1031</t>
  </si>
  <si>
    <t>1024</t>
  </si>
  <si>
    <t>1030</t>
  </si>
  <si>
    <t>412</t>
  </si>
  <si>
    <t>413</t>
  </si>
  <si>
    <t>128f带式给煤机风扇电机</t>
  </si>
  <si>
    <t>1497</t>
  </si>
  <si>
    <t>1492</t>
  </si>
  <si>
    <t>1496</t>
  </si>
  <si>
    <t>636</t>
  </si>
  <si>
    <t>129f带式给煤机风扇电机</t>
  </si>
  <si>
    <t>1483</t>
  </si>
  <si>
    <t>1476</t>
  </si>
  <si>
    <t>1482</t>
  </si>
  <si>
    <t>630</t>
  </si>
  <si>
    <t>130f带式给煤机风扇电机</t>
  </si>
  <si>
    <t>1491</t>
  </si>
  <si>
    <t>1484</t>
  </si>
  <si>
    <t>1490</t>
  </si>
  <si>
    <t>632</t>
  </si>
  <si>
    <t>131f带式给煤机风扇电机</t>
  </si>
  <si>
    <t>1445</t>
  </si>
  <si>
    <t>1440</t>
  </si>
  <si>
    <t>1444</t>
  </si>
  <si>
    <t>132f带式给煤机风扇电机</t>
  </si>
  <si>
    <t>1453</t>
  </si>
  <si>
    <t>1446</t>
  </si>
  <si>
    <t>1452</t>
  </si>
  <si>
    <t>623</t>
  </si>
  <si>
    <t>624</t>
  </si>
  <si>
    <t>902矸石仓下带式给煤机</t>
  </si>
  <si>
    <t>1504</t>
  </si>
  <si>
    <t>1503</t>
  </si>
  <si>
    <t>641</t>
  </si>
  <si>
    <t>642</t>
  </si>
  <si>
    <t>903矸石仓带式给煤机</t>
  </si>
  <si>
    <t>1516</t>
  </si>
  <si>
    <t>1505</t>
  </si>
  <si>
    <t>1515</t>
  </si>
  <si>
    <t>644</t>
  </si>
  <si>
    <t>645</t>
  </si>
  <si>
    <t>127原煤缓冲仓下带式给煤机</t>
  </si>
  <si>
    <t>1512</t>
  </si>
  <si>
    <t>650</t>
  </si>
  <si>
    <t>128原煤储煤场下带式给煤机</t>
  </si>
  <si>
    <t>1523</t>
  </si>
  <si>
    <t>1517</t>
  </si>
  <si>
    <t>1522</t>
  </si>
  <si>
    <t>653</t>
  </si>
  <si>
    <t>129原煤储煤场下带式给煤机</t>
  </si>
  <si>
    <t>1530</t>
  </si>
  <si>
    <t>1524</t>
  </si>
  <si>
    <t>1527</t>
  </si>
  <si>
    <t>655</t>
  </si>
  <si>
    <t>656</t>
  </si>
  <si>
    <t>130原煤储煤场下带式给煤机</t>
  </si>
  <si>
    <t>1535</t>
  </si>
  <si>
    <t>1531</t>
  </si>
  <si>
    <t>1534</t>
  </si>
  <si>
    <t>660</t>
  </si>
  <si>
    <t>661</t>
  </si>
  <si>
    <t>131原煤储煤场下带式给煤机</t>
  </si>
  <si>
    <t>1542</t>
  </si>
  <si>
    <t>1536</t>
  </si>
  <si>
    <t>1541</t>
  </si>
  <si>
    <t>663</t>
  </si>
  <si>
    <t>132原煤储煤场下带式给煤机</t>
  </si>
  <si>
    <t>1547</t>
  </si>
  <si>
    <t>1543</t>
  </si>
  <si>
    <t>1546</t>
  </si>
  <si>
    <t>666</t>
  </si>
  <si>
    <t>667</t>
  </si>
  <si>
    <t>316f块煤磁尾泵风扇电机</t>
  </si>
  <si>
    <t>406</t>
  </si>
  <si>
    <t>332f分级旋流器入料泵风扇电机</t>
  </si>
  <si>
    <t>400</t>
  </si>
  <si>
    <t>161</t>
  </si>
  <si>
    <t>162</t>
  </si>
  <si>
    <t>363B高压风机</t>
  </si>
  <si>
    <t>130</t>
  </si>
  <si>
    <t>131</t>
  </si>
  <si>
    <t>363A高压风机</t>
  </si>
  <si>
    <t>355</t>
  </si>
  <si>
    <t>352</t>
  </si>
  <si>
    <t>354</t>
  </si>
  <si>
    <t>126</t>
  </si>
  <si>
    <t>127</t>
  </si>
  <si>
    <t>361低压风机</t>
  </si>
  <si>
    <t>351</t>
  </si>
  <si>
    <t>350</t>
  </si>
  <si>
    <t>124</t>
  </si>
  <si>
    <t>125</t>
  </si>
  <si>
    <t>316块煤磁尾泵</t>
  </si>
  <si>
    <t>914</t>
  </si>
  <si>
    <t>910</t>
  </si>
  <si>
    <t>913</t>
  </si>
  <si>
    <t>332分级旋流器入料泵</t>
  </si>
  <si>
    <t>905</t>
  </si>
  <si>
    <t>901</t>
  </si>
  <si>
    <t>904</t>
  </si>
  <si>
    <t>713混煤配仓刮板输送机</t>
  </si>
  <si>
    <t>333</t>
  </si>
  <si>
    <t>316</t>
  </si>
  <si>
    <t>332</t>
  </si>
  <si>
    <t>116</t>
  </si>
  <si>
    <t>712混煤配仓刮板输送机</t>
  </si>
  <si>
    <t>111</t>
  </si>
  <si>
    <t>112</t>
  </si>
  <si>
    <t>343压滤机入料泵</t>
  </si>
  <si>
    <t>296</t>
  </si>
  <si>
    <t>104</t>
  </si>
  <si>
    <t>342压滤机入料泵</t>
  </si>
  <si>
    <t>280</t>
  </si>
  <si>
    <t>286</t>
  </si>
  <si>
    <t>101</t>
  </si>
  <si>
    <t>102</t>
  </si>
  <si>
    <t>702主厂房至产品仓精煤带式输送机</t>
  </si>
  <si>
    <t>845</t>
  </si>
  <si>
    <t>813</t>
  </si>
  <si>
    <t>844</t>
  </si>
  <si>
    <t>327</t>
  </si>
  <si>
    <t>330</t>
  </si>
  <si>
    <t>701主厂房至产品仓混煤带式输送机</t>
  </si>
  <si>
    <t>812</t>
  </si>
  <si>
    <t>780</t>
  </si>
  <si>
    <t>811</t>
  </si>
  <si>
    <t>321</t>
  </si>
  <si>
    <t>322</t>
  </si>
  <si>
    <t>341压滤机入料桶搅拌电机</t>
  </si>
  <si>
    <t>447</t>
  </si>
  <si>
    <t>446</t>
  </si>
  <si>
    <t>181</t>
  </si>
  <si>
    <t>182</t>
  </si>
  <si>
    <t>348中高压压滤机</t>
  </si>
  <si>
    <t>504</t>
  </si>
  <si>
    <t>204</t>
  </si>
  <si>
    <t>347中高压压滤机</t>
  </si>
  <si>
    <t>501</t>
  </si>
  <si>
    <t>500</t>
  </si>
  <si>
    <t>202</t>
  </si>
  <si>
    <t>351煤泥转载刮板输送机</t>
  </si>
  <si>
    <t>860</t>
  </si>
  <si>
    <t>846</t>
  </si>
  <si>
    <t>857</t>
  </si>
  <si>
    <t>335</t>
  </si>
  <si>
    <t>336</t>
  </si>
  <si>
    <t>350煤泥收集刮板输送机</t>
  </si>
  <si>
    <t>535</t>
  </si>
  <si>
    <t>523</t>
  </si>
  <si>
    <t>534</t>
  </si>
  <si>
    <t>214</t>
  </si>
  <si>
    <t>349煤泥收集刮板输送机</t>
  </si>
  <si>
    <t>520</t>
  </si>
  <si>
    <t>517</t>
  </si>
  <si>
    <t>210</t>
  </si>
  <si>
    <t>702L带式输送机液压拉紧装置</t>
  </si>
  <si>
    <t>476</t>
  </si>
  <si>
    <t>480</t>
  </si>
  <si>
    <t>195</t>
  </si>
  <si>
    <t>701L带式输送机液压拉紧装置</t>
  </si>
  <si>
    <t>472</t>
  </si>
  <si>
    <t>467</t>
  </si>
  <si>
    <t>191</t>
  </si>
  <si>
    <t>192</t>
  </si>
  <si>
    <t>334高频叠层筛</t>
  </si>
  <si>
    <t>490</t>
  </si>
  <si>
    <t>197</t>
  </si>
  <si>
    <t>200</t>
  </si>
  <si>
    <t>741产品仓上电动葫芦</t>
  </si>
  <si>
    <t>381</t>
  </si>
  <si>
    <t>376</t>
  </si>
  <si>
    <t>380</t>
  </si>
  <si>
    <t>146</t>
  </si>
  <si>
    <t>147</t>
  </si>
  <si>
    <t>336y煤泥离心机油泵电机</t>
  </si>
  <si>
    <t>460</t>
  </si>
  <si>
    <t>464</t>
  </si>
  <si>
    <t>187</t>
  </si>
  <si>
    <t>190</t>
  </si>
  <si>
    <t>336煤泥离心机主电机</t>
  </si>
  <si>
    <t>455</t>
  </si>
  <si>
    <t>450</t>
  </si>
  <si>
    <t>454</t>
  </si>
  <si>
    <t>184</t>
  </si>
  <si>
    <t>185</t>
  </si>
  <si>
    <t>352y煤泥破碎机油泵电机</t>
  </si>
  <si>
    <t>431</t>
  </si>
  <si>
    <t>XQJ湿式洗气机</t>
  </si>
  <si>
    <t>435</t>
  </si>
  <si>
    <t>175</t>
  </si>
  <si>
    <t>176</t>
  </si>
  <si>
    <t>81DY产品仓配电室电源</t>
  </si>
  <si>
    <t>373</t>
  </si>
  <si>
    <t>372</t>
  </si>
  <si>
    <t>142</t>
  </si>
  <si>
    <t>143</t>
  </si>
  <si>
    <t>352煤泥破碎机</t>
  </si>
  <si>
    <t>414</t>
  </si>
  <si>
    <t>170</t>
  </si>
  <si>
    <t>171</t>
  </si>
  <si>
    <t>338f清水泵风扇电机</t>
  </si>
  <si>
    <t>1315</t>
  </si>
  <si>
    <t>1310</t>
  </si>
  <si>
    <t>1314</t>
  </si>
  <si>
    <t>560</t>
  </si>
  <si>
    <t>561</t>
  </si>
  <si>
    <t>372阳离子自动加药装置</t>
  </si>
  <si>
    <t>1336</t>
  </si>
  <si>
    <t>1333</t>
  </si>
  <si>
    <t>1335</t>
  </si>
  <si>
    <t>371阴离子自动加药装置</t>
  </si>
  <si>
    <t>1332</t>
  </si>
  <si>
    <t>1331</t>
  </si>
  <si>
    <t>565</t>
  </si>
  <si>
    <t>566</t>
  </si>
  <si>
    <t>354压滤系统排污泵</t>
  </si>
  <si>
    <t>1326</t>
  </si>
  <si>
    <t>1316</t>
  </si>
  <si>
    <t>1325</t>
  </si>
  <si>
    <t>563</t>
  </si>
  <si>
    <t>564</t>
  </si>
  <si>
    <t>406B浓缩池下层排污泵</t>
  </si>
  <si>
    <t>1307</t>
  </si>
  <si>
    <t>1302</t>
  </si>
  <si>
    <t>1306</t>
  </si>
  <si>
    <t>555</t>
  </si>
  <si>
    <t>556</t>
  </si>
  <si>
    <t>406A浓缩池下层排污泵</t>
  </si>
  <si>
    <t>1301</t>
  </si>
  <si>
    <t>1294</t>
  </si>
  <si>
    <t>1300</t>
  </si>
  <si>
    <t>552</t>
  </si>
  <si>
    <t>553</t>
  </si>
  <si>
    <t>353煤泥转载带式输送机</t>
  </si>
  <si>
    <t>1423</t>
  </si>
  <si>
    <t>1401</t>
  </si>
  <si>
    <t>1422</t>
  </si>
  <si>
    <t>605</t>
  </si>
  <si>
    <t>328重介系统轴封水泵</t>
  </si>
  <si>
    <t>1293</t>
  </si>
  <si>
    <t>1286</t>
  </si>
  <si>
    <t>1292</t>
  </si>
  <si>
    <t>547</t>
  </si>
  <si>
    <t>550</t>
  </si>
  <si>
    <t>407浓缩车间电动葫芦</t>
  </si>
  <si>
    <t>1283</t>
  </si>
  <si>
    <t>1280</t>
  </si>
  <si>
    <t>1282</t>
  </si>
  <si>
    <t>542</t>
  </si>
  <si>
    <t>543</t>
  </si>
  <si>
    <t>401浓缩机</t>
  </si>
  <si>
    <t>1275</t>
  </si>
  <si>
    <t>1272</t>
  </si>
  <si>
    <t>1274</t>
  </si>
  <si>
    <t>536</t>
  </si>
  <si>
    <t>537</t>
  </si>
  <si>
    <t>356压滤系统轴封水泵</t>
  </si>
  <si>
    <t>1267</t>
  </si>
  <si>
    <t>1262</t>
  </si>
  <si>
    <t>1266</t>
  </si>
  <si>
    <t>532</t>
  </si>
  <si>
    <t>533</t>
  </si>
  <si>
    <t>403底流泵</t>
  </si>
  <si>
    <t>1261</t>
  </si>
  <si>
    <t>1254</t>
  </si>
  <si>
    <t>1260</t>
  </si>
  <si>
    <t>527</t>
  </si>
  <si>
    <t>530</t>
  </si>
  <si>
    <t>402底流泵</t>
  </si>
  <si>
    <t>1253</t>
  </si>
  <si>
    <t>1246</t>
  </si>
  <si>
    <t>1252</t>
  </si>
  <si>
    <t>524</t>
  </si>
  <si>
    <t>525</t>
  </si>
  <si>
    <t>405冲洗水泵</t>
  </si>
  <si>
    <t>1245</t>
  </si>
  <si>
    <t>1240</t>
  </si>
  <si>
    <t>1244</t>
  </si>
  <si>
    <t>521</t>
  </si>
  <si>
    <t>522</t>
  </si>
  <si>
    <t>711FB电业翻板</t>
  </si>
  <si>
    <t>1427</t>
  </si>
  <si>
    <t>1424</t>
  </si>
  <si>
    <t>1426</t>
  </si>
  <si>
    <t>611</t>
  </si>
  <si>
    <t>612</t>
  </si>
  <si>
    <t>702B精煤采制样系统</t>
  </si>
  <si>
    <t>1367</t>
  </si>
  <si>
    <t>1364</t>
  </si>
  <si>
    <t>1366</t>
  </si>
  <si>
    <t>582</t>
  </si>
  <si>
    <t>583</t>
  </si>
  <si>
    <t>701B混煤采制样系统</t>
  </si>
  <si>
    <t>1363</t>
  </si>
  <si>
    <t>1360</t>
  </si>
  <si>
    <t>1362</t>
  </si>
  <si>
    <t>580</t>
  </si>
  <si>
    <t>581</t>
  </si>
  <si>
    <t>345压榨水泵电源</t>
  </si>
  <si>
    <t>1387</t>
  </si>
  <si>
    <t>1384</t>
  </si>
  <si>
    <t>1386</t>
  </si>
  <si>
    <t>595</t>
  </si>
  <si>
    <t>596</t>
  </si>
  <si>
    <t>711y块精煤分级筛油泵电机</t>
  </si>
  <si>
    <t>1397</t>
  </si>
  <si>
    <t>1392</t>
  </si>
  <si>
    <t>1396</t>
  </si>
  <si>
    <t>603</t>
  </si>
  <si>
    <t>711b产品仓上块精煤分级筛</t>
  </si>
  <si>
    <t>711a产品仓上块精煤分级筛</t>
  </si>
  <si>
    <t>713EZ混煤配仓闸门液压站</t>
  </si>
  <si>
    <t>713GZ混煤配仓闸门液压站</t>
  </si>
  <si>
    <t>713AZ混煤配仓闸门液压站</t>
  </si>
  <si>
    <t>713CZ混煤配仓闸门液压站</t>
  </si>
  <si>
    <t>712EZ精煤配仓闸门液压站</t>
  </si>
  <si>
    <t>712GZ精煤配仓闸门液压站</t>
  </si>
  <si>
    <t>712AZ精煤配仓闸门液压站</t>
  </si>
  <si>
    <t>712CZ精煤配仓闸门液压站</t>
  </si>
  <si>
    <t>338清水泵</t>
  </si>
  <si>
    <t>1646</t>
  </si>
  <si>
    <t>1642</t>
  </si>
  <si>
    <t>1645</t>
  </si>
  <si>
    <t>741</t>
  </si>
  <si>
    <t>742</t>
  </si>
  <si>
    <t>AA1消防泵房电源</t>
  </si>
  <si>
    <t>325电动双梁起重机</t>
  </si>
  <si>
    <t>1AP主厂房照明电源</t>
  </si>
  <si>
    <t>1ACL-Z产品仓应激照明总电源</t>
  </si>
  <si>
    <t>PSB2X11原煤储煤场下消防排水泵</t>
  </si>
  <si>
    <t>AP1办公楼电源</t>
  </si>
  <si>
    <t>HRJZ1X高区换热机组电源</t>
  </si>
  <si>
    <t>AA3消防泵房电源</t>
  </si>
  <si>
    <t>31M4X变电所照明电源</t>
  </si>
  <si>
    <t>1AL-1原煤缓冲仓照明总电源</t>
  </si>
  <si>
    <t>31AP1煤样室电源</t>
  </si>
  <si>
    <t>NSMX浓缩车间照明电源</t>
  </si>
  <si>
    <t>XFP1消防炮电源</t>
  </si>
  <si>
    <t>XFP2消防炮电源</t>
  </si>
  <si>
    <t>XFP3消防炮电源</t>
  </si>
  <si>
    <t>PLCA1控制电源</t>
  </si>
  <si>
    <t>31AP3配电箱电源</t>
  </si>
  <si>
    <t>31WYB消防增压稳压水泵</t>
  </si>
  <si>
    <t>RSJZX生活热水机组电源</t>
  </si>
  <si>
    <t>JHZMX热交换站照明电源</t>
  </si>
  <si>
    <t>1AL-1矸石仓那照明总电源</t>
  </si>
  <si>
    <t>11AP管状皮带检修电源</t>
  </si>
  <si>
    <t>31WYB消防增压稳压水泵1</t>
  </si>
  <si>
    <t>PSB原煤储煤场消防排水泵</t>
  </si>
  <si>
    <t>1ACL-Z产品仓应激照明总电源1</t>
  </si>
  <si>
    <t>1AL-Z产品仓照明总电源</t>
  </si>
  <si>
    <t>1AP主厂房照明电源1</t>
  </si>
  <si>
    <t>HRJZ2X低区换热机组电源</t>
  </si>
  <si>
    <t>AA1消防泵房电源1</t>
  </si>
  <si>
    <t>11M2X储煤场上照明电源1</t>
  </si>
  <si>
    <t>11M1X储煤场下照明电源1</t>
  </si>
  <si>
    <t>JXCJX机修车间电源1</t>
  </si>
  <si>
    <t>YSC雨水沉淀池排水泵</t>
  </si>
  <si>
    <t>I167.5</t>
  </si>
  <si>
    <t>I167.2</t>
  </si>
  <si>
    <t>I167.4</t>
  </si>
  <si>
    <t>Q76.2</t>
  </si>
  <si>
    <t>Q76.3</t>
  </si>
  <si>
    <t>YSC沉淀池排水泵</t>
  </si>
  <si>
    <t>远程分合闸</t>
  </si>
  <si>
    <t>JZT</t>
  </si>
  <si>
    <t>远程停送电</t>
  </si>
  <si>
    <t>DB185,DBB3150</t>
  </si>
  <si>
    <t>DB185,</t>
  </si>
  <si>
    <t>DBB3186</t>
  </si>
  <si>
    <t>DB185,DBB3186</t>
  </si>
  <si>
    <t>721Z产品仓下闸门液压站</t>
  </si>
  <si>
    <t>1843</t>
  </si>
  <si>
    <t>1840</t>
  </si>
  <si>
    <t>1842</t>
  </si>
  <si>
    <t>850</t>
  </si>
  <si>
    <t>851</t>
  </si>
  <si>
    <t>721Z闸门液压站</t>
  </si>
  <si>
    <t>DB185,DBB3168</t>
  </si>
  <si>
    <t>DBB3204</t>
  </si>
  <si>
    <t>DB185,DBB3204</t>
  </si>
  <si>
    <t>725Z产品仓下闸门液压站</t>
  </si>
  <si>
    <t>725Z闸门液压站</t>
  </si>
  <si>
    <t>DBB3222</t>
  </si>
  <si>
    <t>DB185,DBB3222</t>
  </si>
  <si>
    <t>729Z产品仓下闸门液压站</t>
  </si>
  <si>
    <t>1883</t>
  </si>
  <si>
    <t>1880</t>
  </si>
  <si>
    <t>1882</t>
  </si>
  <si>
    <t>880</t>
  </si>
  <si>
    <t>881</t>
  </si>
  <si>
    <t>729Z闸门液压站</t>
  </si>
  <si>
    <t>DBB3240</t>
  </si>
  <si>
    <t>DB185,DBB3240</t>
  </si>
  <si>
    <t>733Z产品仓下闸门液压站</t>
  </si>
  <si>
    <t>733Z闸门液压站</t>
  </si>
  <si>
    <t>DBB3258</t>
  </si>
  <si>
    <t>DB185,DBB3258</t>
  </si>
  <si>
    <t>743产品仓排污泵</t>
  </si>
  <si>
    <t>1696</t>
  </si>
  <si>
    <t>1686</t>
  </si>
  <si>
    <t>1695</t>
  </si>
  <si>
    <t>776</t>
  </si>
  <si>
    <t>743排污泵</t>
  </si>
  <si>
    <t>DBB3276</t>
  </si>
  <si>
    <t>DB185,DBB3276</t>
  </si>
  <si>
    <t>744产品仓下排污泵</t>
  </si>
  <si>
    <t>1707</t>
  </si>
  <si>
    <t>1697</t>
  </si>
  <si>
    <t>1706</t>
  </si>
  <si>
    <t>781</t>
  </si>
  <si>
    <t>744仓下排污泵</t>
  </si>
  <si>
    <t>DBB3294</t>
  </si>
  <si>
    <t>DB185,DBB3294</t>
  </si>
  <si>
    <t>721f带式给煤机风扇电机</t>
  </si>
  <si>
    <t>1715</t>
  </si>
  <si>
    <t>1710</t>
  </si>
  <si>
    <t>1714</t>
  </si>
  <si>
    <t>783</t>
  </si>
  <si>
    <t>784</t>
  </si>
  <si>
    <t>721f风扇电机</t>
  </si>
  <si>
    <t>DBB3312</t>
  </si>
  <si>
    <t>DB185,DBB3312</t>
  </si>
  <si>
    <t>722f带式给煤机风扇电机</t>
  </si>
  <si>
    <t>1723</t>
  </si>
  <si>
    <t>1716</t>
  </si>
  <si>
    <t>1722</t>
  </si>
  <si>
    <t>786</t>
  </si>
  <si>
    <t>787</t>
  </si>
  <si>
    <t>722f风扇电机</t>
  </si>
  <si>
    <t>DBB3330</t>
  </si>
  <si>
    <t>DB185,DBB3330</t>
  </si>
  <si>
    <t>723f带式给煤机风扇电机</t>
  </si>
  <si>
    <t>1731</t>
  </si>
  <si>
    <t>1724</t>
  </si>
  <si>
    <t>1730</t>
  </si>
  <si>
    <t>791</t>
  </si>
  <si>
    <t>792</t>
  </si>
  <si>
    <t>723f风扇电机</t>
  </si>
  <si>
    <t>DBB3348</t>
  </si>
  <si>
    <t>DB185,DBB3348</t>
  </si>
  <si>
    <t>724f带式给煤机风扇电机</t>
  </si>
  <si>
    <t>1737</t>
  </si>
  <si>
    <t>1732</t>
  </si>
  <si>
    <t>1736</t>
  </si>
  <si>
    <t>794</t>
  </si>
  <si>
    <t>795</t>
  </si>
  <si>
    <t>724f风扇电机</t>
  </si>
  <si>
    <t>DBB3366</t>
  </si>
  <si>
    <t>DB185,DBB3366</t>
  </si>
  <si>
    <t>725f带式给煤机风扇电机</t>
  </si>
  <si>
    <t>1745</t>
  </si>
  <si>
    <t>1740</t>
  </si>
  <si>
    <t>1744</t>
  </si>
  <si>
    <t>797</t>
  </si>
  <si>
    <t>800</t>
  </si>
  <si>
    <t>725f风扇电机</t>
  </si>
  <si>
    <t>DBB3384</t>
  </si>
  <si>
    <t>DB185,DBB3384</t>
  </si>
  <si>
    <t>726f带式给煤机风扇电机</t>
  </si>
  <si>
    <t>1753</t>
  </si>
  <si>
    <t>1746</t>
  </si>
  <si>
    <t>1752</t>
  </si>
  <si>
    <t>802</t>
  </si>
  <si>
    <t>803</t>
  </si>
  <si>
    <t>726f风扇电机</t>
  </si>
  <si>
    <t>DBB3402</t>
  </si>
  <si>
    <t>DB185,DBB3402</t>
  </si>
  <si>
    <t>727f带式给煤机风扇电机</t>
  </si>
  <si>
    <t>1761</t>
  </si>
  <si>
    <t>1754</t>
  </si>
  <si>
    <t>1760</t>
  </si>
  <si>
    <t>805</t>
  </si>
  <si>
    <t>806</t>
  </si>
  <si>
    <t>727f风扇电机</t>
  </si>
  <si>
    <t>DBB3420</t>
  </si>
  <si>
    <t>DB185,DBB3420</t>
  </si>
  <si>
    <t>728f带式给煤机风扇电机</t>
  </si>
  <si>
    <t>1767</t>
  </si>
  <si>
    <t>1762</t>
  </si>
  <si>
    <t>1766</t>
  </si>
  <si>
    <t>810</t>
  </si>
  <si>
    <t>728f风扇电机</t>
  </si>
  <si>
    <t>DBB3438</t>
  </si>
  <si>
    <t>DB185,DBB3438</t>
  </si>
  <si>
    <t>729f带式给煤机风扇电机</t>
  </si>
  <si>
    <t>1785</t>
  </si>
  <si>
    <t>1780</t>
  </si>
  <si>
    <t>1784</t>
  </si>
  <si>
    <t>821</t>
  </si>
  <si>
    <t>822</t>
  </si>
  <si>
    <t>729f风扇电机</t>
  </si>
  <si>
    <t>DBB3456</t>
  </si>
  <si>
    <t>DB185,DBB3456</t>
  </si>
  <si>
    <t>730f带式给煤机风扇电机</t>
  </si>
  <si>
    <t>1793</t>
  </si>
  <si>
    <t>1786</t>
  </si>
  <si>
    <t>1792</t>
  </si>
  <si>
    <t>824</t>
  </si>
  <si>
    <t>825</t>
  </si>
  <si>
    <t>730f风扇电机</t>
  </si>
  <si>
    <t>DBB3474</t>
  </si>
  <si>
    <t>DB185,DBB3474</t>
  </si>
  <si>
    <t>731f带式给煤机风扇电机</t>
  </si>
  <si>
    <t>1801</t>
  </si>
  <si>
    <t>1794</t>
  </si>
  <si>
    <t>1800</t>
  </si>
  <si>
    <t>827</t>
  </si>
  <si>
    <t>830</t>
  </si>
  <si>
    <t>731f风扇电机</t>
  </si>
  <si>
    <t>DBB3492</t>
  </si>
  <si>
    <t>DB185,DBB3492</t>
  </si>
  <si>
    <t>732f带式给煤机风扇电机</t>
  </si>
  <si>
    <t>1807</t>
  </si>
  <si>
    <t>1802</t>
  </si>
  <si>
    <t>1806</t>
  </si>
  <si>
    <t>832</t>
  </si>
  <si>
    <t>833</t>
  </si>
  <si>
    <t>732f风扇电机</t>
  </si>
  <si>
    <t>DBB3510</t>
  </si>
  <si>
    <t>DB185,DBB3510</t>
  </si>
  <si>
    <t>733f带式给煤机风扇电机</t>
  </si>
  <si>
    <t>1815</t>
  </si>
  <si>
    <t>1810</t>
  </si>
  <si>
    <t>1814</t>
  </si>
  <si>
    <t>835</t>
  </si>
  <si>
    <t>836</t>
  </si>
  <si>
    <t>733f风扇电机</t>
  </si>
  <si>
    <t>DBB3528</t>
  </si>
  <si>
    <t>DB185,DBB3528</t>
  </si>
  <si>
    <t>734f带式给煤机风扇电机</t>
  </si>
  <si>
    <t>1823</t>
  </si>
  <si>
    <t>1816</t>
  </si>
  <si>
    <t>1822</t>
  </si>
  <si>
    <t>840</t>
  </si>
  <si>
    <t>841</t>
  </si>
  <si>
    <t>734f风扇电机</t>
  </si>
  <si>
    <t>DBB3546</t>
  </si>
  <si>
    <t>DB185,DBB3546</t>
  </si>
  <si>
    <t>735f带式给煤机风扇电机</t>
  </si>
  <si>
    <t>1831</t>
  </si>
  <si>
    <t>1824</t>
  </si>
  <si>
    <t>1830</t>
  </si>
  <si>
    <t>843</t>
  </si>
  <si>
    <t>735f风扇电机</t>
  </si>
  <si>
    <t>DBB3564</t>
  </si>
  <si>
    <t>DB185,DBB3564</t>
  </si>
  <si>
    <t>736f带式给煤机风扇电机</t>
  </si>
  <si>
    <t>1837</t>
  </si>
  <si>
    <t>1836</t>
  </si>
  <si>
    <t>847</t>
  </si>
  <si>
    <t>736f风扇电机</t>
  </si>
  <si>
    <t>DBB3582</t>
  </si>
  <si>
    <t>DB185,DBB3582</t>
  </si>
  <si>
    <t>737f带式给煤机风扇电机</t>
  </si>
  <si>
    <t>737f风扇电机</t>
  </si>
  <si>
    <t>DBB3600</t>
  </si>
  <si>
    <t>DB185,DBB3600</t>
  </si>
  <si>
    <t>721产品仓下带式给煤机</t>
  </si>
  <si>
    <t>1916</t>
  </si>
  <si>
    <t>1912</t>
  </si>
  <si>
    <t>1915</t>
  </si>
  <si>
    <t>906</t>
  </si>
  <si>
    <t>721给煤机</t>
  </si>
  <si>
    <t>DBB3618</t>
  </si>
  <si>
    <t>DB185,DBB3618</t>
  </si>
  <si>
    <t>722产品仓下带式给煤机</t>
  </si>
  <si>
    <t>1923</t>
  </si>
  <si>
    <t>1917</t>
  </si>
  <si>
    <t>1922</t>
  </si>
  <si>
    <t>911</t>
  </si>
  <si>
    <t>722给煤机</t>
  </si>
  <si>
    <t>DBB3636</t>
  </si>
  <si>
    <t>DB185,DBB3636</t>
  </si>
  <si>
    <t>723产品仓下带式给煤机</t>
  </si>
  <si>
    <t>1930</t>
  </si>
  <si>
    <t>1924</t>
  </si>
  <si>
    <t>1927</t>
  </si>
  <si>
    <t>723给煤机</t>
  </si>
  <si>
    <t>DBB3654</t>
  </si>
  <si>
    <t>DB185,DBB3654</t>
  </si>
  <si>
    <t>724产品仓下带式给煤机</t>
  </si>
  <si>
    <t>1935</t>
  </si>
  <si>
    <t>1931</t>
  </si>
  <si>
    <t>1934</t>
  </si>
  <si>
    <t>916</t>
  </si>
  <si>
    <t>917</t>
  </si>
  <si>
    <t>724给煤机</t>
  </si>
  <si>
    <t>DBB3672</t>
  </si>
  <si>
    <t>DB185,DBB3672</t>
  </si>
  <si>
    <t>725产品仓下带式给煤机</t>
  </si>
  <si>
    <t>1942</t>
  </si>
  <si>
    <t>1936</t>
  </si>
  <si>
    <t>1941</t>
  </si>
  <si>
    <t>921</t>
  </si>
  <si>
    <t>725给煤机</t>
  </si>
  <si>
    <t>DBB3690</t>
  </si>
  <si>
    <t>DB185,DBB3690</t>
  </si>
  <si>
    <t>726产品仓下带式给煤机</t>
  </si>
  <si>
    <t>I194.3</t>
  </si>
  <si>
    <t>1947</t>
  </si>
  <si>
    <t>1946</t>
  </si>
  <si>
    <t>924</t>
  </si>
  <si>
    <t>925</t>
  </si>
  <si>
    <t>726给煤机</t>
  </si>
  <si>
    <t>DBB3708</t>
  </si>
  <si>
    <t>DB185,DBB3708</t>
  </si>
  <si>
    <t>727产品仓下带式给煤机</t>
  </si>
  <si>
    <t>1954</t>
  </si>
  <si>
    <t>1950</t>
  </si>
  <si>
    <t>1953</t>
  </si>
  <si>
    <t>927</t>
  </si>
  <si>
    <t>930</t>
  </si>
  <si>
    <t>727给煤机</t>
  </si>
  <si>
    <t>DBB3726</t>
  </si>
  <si>
    <t>DB185,DBB3726</t>
  </si>
  <si>
    <t>728产品仓下带式给煤机</t>
  </si>
  <si>
    <t>1961</t>
  </si>
  <si>
    <t>1955</t>
  </si>
  <si>
    <t>1960</t>
  </si>
  <si>
    <t>932</t>
  </si>
  <si>
    <t>933</t>
  </si>
  <si>
    <t>728给煤机</t>
  </si>
  <si>
    <t>DBB3744</t>
  </si>
  <si>
    <t>DB185,DBB3744</t>
  </si>
  <si>
    <t>729产品仓下带式给煤机</t>
  </si>
  <si>
    <t>1966</t>
  </si>
  <si>
    <t>1962</t>
  </si>
  <si>
    <t>1965</t>
  </si>
  <si>
    <t>935</t>
  </si>
  <si>
    <t>729给煤机</t>
  </si>
  <si>
    <t>DBB3762</t>
  </si>
  <si>
    <t>DB185,DBB3762</t>
  </si>
  <si>
    <t>730产品仓下带式给煤机</t>
  </si>
  <si>
    <t>1973</t>
  </si>
  <si>
    <t>1967</t>
  </si>
  <si>
    <t>1972</t>
  </si>
  <si>
    <t>730给煤机</t>
  </si>
  <si>
    <t>DBB3780</t>
  </si>
  <si>
    <t>DB185,DBB3780</t>
  </si>
  <si>
    <t>731产品仓下带式给煤机</t>
  </si>
  <si>
    <t>1984</t>
  </si>
  <si>
    <t>1980</t>
  </si>
  <si>
    <t>1983</t>
  </si>
  <si>
    <t>943</t>
  </si>
  <si>
    <t>944</t>
  </si>
  <si>
    <t>731给煤机</t>
  </si>
  <si>
    <t>DBB3798</t>
  </si>
  <si>
    <t>DB185,DBB3798</t>
  </si>
  <si>
    <t>732产品仓下带式给煤机</t>
  </si>
  <si>
    <t>1991</t>
  </si>
  <si>
    <t>1985</t>
  </si>
  <si>
    <t>1990</t>
  </si>
  <si>
    <t>946</t>
  </si>
  <si>
    <t>947</t>
  </si>
  <si>
    <t>732给煤机</t>
  </si>
  <si>
    <t>DBB3816</t>
  </si>
  <si>
    <t>DB185,DBB3816</t>
  </si>
  <si>
    <t>733产品仓下带式给煤机</t>
  </si>
  <si>
    <t>1996</t>
  </si>
  <si>
    <t>1992</t>
  </si>
  <si>
    <t>1995</t>
  </si>
  <si>
    <t>961</t>
  </si>
  <si>
    <t>962</t>
  </si>
  <si>
    <t>733给煤机</t>
  </si>
  <si>
    <t>DBB3834</t>
  </si>
  <si>
    <t>DB185,DBB3834</t>
  </si>
  <si>
    <t>734产品仓下带式给煤机</t>
  </si>
  <si>
    <t>2003</t>
  </si>
  <si>
    <t>1997</t>
  </si>
  <si>
    <t>2002</t>
  </si>
  <si>
    <t>964</t>
  </si>
  <si>
    <t>965</t>
  </si>
  <si>
    <t>734给煤机</t>
  </si>
  <si>
    <t>DBB3852</t>
  </si>
  <si>
    <t>DB185,DBB3852</t>
  </si>
  <si>
    <t>735产品仓下带式给煤机</t>
  </si>
  <si>
    <t>2010</t>
  </si>
  <si>
    <t>2004</t>
  </si>
  <si>
    <t>2007</t>
  </si>
  <si>
    <t>970</t>
  </si>
  <si>
    <t>735给煤机</t>
  </si>
  <si>
    <t>DBB3870</t>
  </si>
  <si>
    <t>DB185,DBB3870</t>
  </si>
  <si>
    <t>736产品仓下带式给煤机</t>
  </si>
  <si>
    <t>2015</t>
  </si>
  <si>
    <t>2011</t>
  </si>
  <si>
    <t>2014</t>
  </si>
  <si>
    <t>972</t>
  </si>
  <si>
    <t>736给煤机</t>
  </si>
  <si>
    <t>DBB3888</t>
  </si>
  <si>
    <t>DB185,DBB3888</t>
  </si>
  <si>
    <t>价格</t>
  </si>
  <si>
    <t>税率</t>
  </si>
  <si>
    <t>税费</t>
  </si>
  <si>
    <t>总价</t>
  </si>
  <si>
    <t>汇总</t>
  </si>
  <si>
    <t>X3021SS</t>
  </si>
  <si>
    <t>二进制变量</t>
  </si>
  <si>
    <t>S7pro</t>
  </si>
  <si>
    <t>CGY2</t>
  </si>
  <si>
    <t>I150.6</t>
  </si>
  <si>
    <t>X3026SS</t>
  </si>
  <si>
    <t>I156.3</t>
  </si>
  <si>
    <t>X3028SS</t>
  </si>
  <si>
    <t>I157.1</t>
  </si>
  <si>
    <t>X3030SS</t>
  </si>
  <si>
    <t>I157.7</t>
  </si>
  <si>
    <t>X3017SS</t>
  </si>
  <si>
    <t>I150.0</t>
  </si>
  <si>
    <t>X3710SS</t>
  </si>
  <si>
    <t>X3713SS</t>
  </si>
  <si>
    <t>I164.4</t>
  </si>
  <si>
    <t>X3007JT</t>
  </si>
  <si>
    <t>Power</t>
  </si>
  <si>
    <t>Alm</t>
  </si>
  <si>
    <t>IFO</t>
  </si>
  <si>
    <t>DB185,DBB18</t>
  </si>
  <si>
    <t>DB185,DBB36</t>
  </si>
  <si>
    <t>DB185,DBB54</t>
  </si>
  <si>
    <t>141转载皮带</t>
  </si>
  <si>
    <t>DB185,DBB72</t>
  </si>
  <si>
    <t>311Y油泵</t>
  </si>
  <si>
    <t>DB185,DBB90</t>
  </si>
  <si>
    <t>311a精煤破碎机</t>
  </si>
  <si>
    <t>DB185,DBB108</t>
  </si>
  <si>
    <t>311b精煤破碎机</t>
  </si>
  <si>
    <t>DB185,DBB126</t>
  </si>
  <si>
    <t>324Y油泵</t>
  </si>
  <si>
    <t>DB185,DBB144</t>
  </si>
  <si>
    <t>DB185,DBB162</t>
  </si>
  <si>
    <t>DB185,DBB180</t>
  </si>
  <si>
    <t>152电动葫芦</t>
  </si>
  <si>
    <t>DB185,DBB198</t>
  </si>
  <si>
    <t>154电动葫芦</t>
  </si>
  <si>
    <t>DB185,DBB216</t>
  </si>
  <si>
    <t>155电动葫芦</t>
  </si>
  <si>
    <t>DB185,DBB234</t>
  </si>
  <si>
    <t>911矸石皮带</t>
  </si>
  <si>
    <t>DB185,DBB252</t>
  </si>
  <si>
    <t>122转载皮带</t>
  </si>
  <si>
    <t>DB185,DBB270</t>
  </si>
  <si>
    <t>141L拉紧装置</t>
  </si>
  <si>
    <t>DB185,DBB288</t>
  </si>
  <si>
    <t>906电动葫芦</t>
  </si>
  <si>
    <t>DB185,DBB306</t>
  </si>
  <si>
    <t>153电动葫芦</t>
  </si>
  <si>
    <t>DB185,DBB324</t>
  </si>
  <si>
    <t>902Y液压站</t>
  </si>
  <si>
    <t>DB185,DBB342</t>
  </si>
  <si>
    <t>907排污泵</t>
  </si>
  <si>
    <t>DB185,DBB360</t>
  </si>
  <si>
    <t>901矸石皮带</t>
  </si>
  <si>
    <t>DB185,DBB378</t>
  </si>
  <si>
    <t>111BZ制动电机</t>
  </si>
  <si>
    <t>DB185,DBB396</t>
  </si>
  <si>
    <t>111AZ制动电机</t>
  </si>
  <si>
    <t>DB185,DBB414</t>
  </si>
  <si>
    <t>111BL风扇电机</t>
  </si>
  <si>
    <t>DB185,DBB432</t>
  </si>
  <si>
    <t>111AL风扇电机</t>
  </si>
  <si>
    <t>DB185,DBB450</t>
  </si>
  <si>
    <t>114排污泵</t>
  </si>
  <si>
    <t>DB185,DBB468</t>
  </si>
  <si>
    <t>111bR皮带热风机</t>
  </si>
  <si>
    <t>DB185,DBB486</t>
  </si>
  <si>
    <t>111aR皮带热风机</t>
  </si>
  <si>
    <t>DB185,DBB504</t>
  </si>
  <si>
    <t>127z闸板</t>
  </si>
  <si>
    <t>DB185,DBB522</t>
  </si>
  <si>
    <t>129z闸板</t>
  </si>
  <si>
    <t>DB185,DBB540</t>
  </si>
  <si>
    <t>131z闸板</t>
  </si>
  <si>
    <t>DB185,DBB558</t>
  </si>
  <si>
    <t>113电动葫芦</t>
  </si>
  <si>
    <t>DB185,DBB576</t>
  </si>
  <si>
    <t>121Y液压站</t>
  </si>
  <si>
    <t>DB185,DBB594</t>
  </si>
  <si>
    <t>XLFJ地道风机</t>
  </si>
  <si>
    <t>DB185,DBB612</t>
  </si>
  <si>
    <t>157排污泵</t>
  </si>
  <si>
    <t>DB185,DBB630</t>
  </si>
  <si>
    <t>156排污泵</t>
  </si>
  <si>
    <t>DB185,DBB648</t>
  </si>
  <si>
    <t>303/A电液闸门</t>
  </si>
  <si>
    <t>DB185,DBB666</t>
  </si>
  <si>
    <t>304/A电液闸门</t>
  </si>
  <si>
    <t>DB185,DBB684</t>
  </si>
  <si>
    <t>DB185,DBB702</t>
  </si>
  <si>
    <t>304分级筛</t>
  </si>
  <si>
    <t>DB185,DBB720</t>
  </si>
  <si>
    <t>303分级筛</t>
  </si>
  <si>
    <t>DB185,DBB738</t>
  </si>
  <si>
    <t>310Y油泵</t>
  </si>
  <si>
    <t>DB185,DBB756</t>
  </si>
  <si>
    <t>309Y油泵</t>
  </si>
  <si>
    <t>DB185,DBB774</t>
  </si>
  <si>
    <t>310Z1振动电机</t>
  </si>
  <si>
    <t>DB185,DBB792</t>
  </si>
  <si>
    <t>310Z2振动电机</t>
  </si>
  <si>
    <t>DB185,DBB810</t>
  </si>
  <si>
    <t>310主电机</t>
  </si>
  <si>
    <t>DB185,DBB828</t>
  </si>
  <si>
    <t>309主电机</t>
  </si>
  <si>
    <t>DB185,DBB846</t>
  </si>
  <si>
    <t>357管道泵</t>
  </si>
  <si>
    <t>DB185,DBB864</t>
  </si>
  <si>
    <t>319磁选机</t>
  </si>
  <si>
    <t>DB185,DBB882</t>
  </si>
  <si>
    <t>318磁选机</t>
  </si>
  <si>
    <t>DB185,DBB900</t>
  </si>
  <si>
    <t>317磁选机</t>
  </si>
  <si>
    <t>DB185,DBB918</t>
  </si>
  <si>
    <t>320刮板机</t>
  </si>
  <si>
    <t>DB185,DBB936</t>
  </si>
  <si>
    <t>321刮板机</t>
  </si>
  <si>
    <t>DB185,DBB954</t>
  </si>
  <si>
    <t>DB185,DBB972</t>
  </si>
  <si>
    <t>327排污泵</t>
  </si>
  <si>
    <t>DB185,DBB990</t>
  </si>
  <si>
    <t>307浅槽</t>
  </si>
  <si>
    <t>DB185,DBB1008</t>
  </si>
  <si>
    <t>306脱泥筛</t>
  </si>
  <si>
    <t>DB185,DBB1026</t>
  </si>
  <si>
    <t>305脱泥筛</t>
  </si>
  <si>
    <t>DB185,DBB1044</t>
  </si>
  <si>
    <t>DB185,DBB1062</t>
  </si>
  <si>
    <t>DB185,DBB1080</t>
  </si>
  <si>
    <t>SQW2除尘射雾器</t>
  </si>
  <si>
    <t>DB185,DBB1098</t>
  </si>
  <si>
    <t>SQW1除尘射雾器</t>
  </si>
  <si>
    <t>DB185,DBB1116</t>
  </si>
  <si>
    <t>310/A电液闸门</t>
  </si>
  <si>
    <t>DB185,DBB1134</t>
  </si>
  <si>
    <t>309/A电液闸门</t>
  </si>
  <si>
    <t>DB185,DBB1152</t>
  </si>
  <si>
    <t>312矸石脱介筛</t>
  </si>
  <si>
    <t>DB185,DBB1170</t>
  </si>
  <si>
    <t>308B精煤脱介筛</t>
  </si>
  <si>
    <t>DB185,DBB1188</t>
  </si>
  <si>
    <t>308A精煤脱介筛</t>
  </si>
  <si>
    <t>DB185,DBB1206</t>
  </si>
  <si>
    <t>902F风扇电机</t>
  </si>
  <si>
    <t>DB185,DBB1224</t>
  </si>
  <si>
    <t>903F风扇电机</t>
  </si>
  <si>
    <t>DB185,DBB1242</t>
  </si>
  <si>
    <t>127F风扇电机</t>
  </si>
  <si>
    <t>DB185,DBB1260</t>
  </si>
  <si>
    <t>128F风扇电机</t>
  </si>
  <si>
    <t>DB185,DBB1278</t>
  </si>
  <si>
    <t>129F风扇电机</t>
  </si>
  <si>
    <t>DB185,DBB1296</t>
  </si>
  <si>
    <t>130F风扇电机</t>
  </si>
  <si>
    <t>DB185,DBB1314</t>
  </si>
  <si>
    <t>131F风扇电机</t>
  </si>
  <si>
    <t>DB185,DBB1332</t>
  </si>
  <si>
    <t>132F风扇电机</t>
  </si>
  <si>
    <t>DB185,DBB1350</t>
  </si>
  <si>
    <t>902矸石给煤机</t>
  </si>
  <si>
    <t>DB185,DBB1368</t>
  </si>
  <si>
    <t>903矸石给煤机</t>
  </si>
  <si>
    <t>DB185,DBB1386</t>
  </si>
  <si>
    <t>127原煤给煤机</t>
  </si>
  <si>
    <t>DB185,DBB1404</t>
  </si>
  <si>
    <t>128原煤给煤机</t>
  </si>
  <si>
    <t>DB185,DBB1422</t>
  </si>
  <si>
    <t>129原煤给煤机</t>
  </si>
  <si>
    <t>DB185,DBB1440</t>
  </si>
  <si>
    <t>130原煤给煤机</t>
  </si>
  <si>
    <t>DB185,DBB1458</t>
  </si>
  <si>
    <t>131原煤给煤机</t>
  </si>
  <si>
    <t>DB185,DBB1476</t>
  </si>
  <si>
    <t>132原煤给煤机</t>
  </si>
  <si>
    <t>DB185,DBB1494</t>
  </si>
  <si>
    <t>316f风扇电机</t>
  </si>
  <si>
    <t>DB185,DBB1512</t>
  </si>
  <si>
    <t>332f风扇电机</t>
  </si>
  <si>
    <t>DB185,DBB1530</t>
  </si>
  <si>
    <t>DB185,DBB1548</t>
  </si>
  <si>
    <t>DB185,DBB1566</t>
  </si>
  <si>
    <t>DB185,DBB1584</t>
  </si>
  <si>
    <t>DB185,DBB1602</t>
  </si>
  <si>
    <t>332旋流器入料泵</t>
  </si>
  <si>
    <t>DB185,DBB1620</t>
  </si>
  <si>
    <t>713刮板输送机</t>
  </si>
  <si>
    <t>DB185,DBB1638</t>
  </si>
  <si>
    <t>712刮板输送机</t>
  </si>
  <si>
    <t>DB185,DBB1656</t>
  </si>
  <si>
    <t>DB185,DBB1674</t>
  </si>
  <si>
    <t>DB185,DBB1692</t>
  </si>
  <si>
    <t>702带式输送机</t>
  </si>
  <si>
    <t>DB185,DBB1710</t>
  </si>
  <si>
    <t>701带式输送机</t>
  </si>
  <si>
    <t>DB185,DBB1728</t>
  </si>
  <si>
    <t>341搅拌电机</t>
  </si>
  <si>
    <t>DB185,DBB1746</t>
  </si>
  <si>
    <t>DB185,DBB1764</t>
  </si>
  <si>
    <t>DB185,DBB1782</t>
  </si>
  <si>
    <t>351煤泥刮板输送机</t>
  </si>
  <si>
    <t>DB185,DBB1800</t>
  </si>
  <si>
    <t>350煤泥刮板输送机</t>
  </si>
  <si>
    <t>DB185,DBB1818</t>
  </si>
  <si>
    <t>349刮板输送机</t>
  </si>
  <si>
    <t>DB185,DBB1836</t>
  </si>
  <si>
    <t>702L皮带拉紧装置</t>
  </si>
  <si>
    <t>DB185,DBB1854</t>
  </si>
  <si>
    <t>701L皮带拉紧装置</t>
  </si>
  <si>
    <t>DB185,DBB1872</t>
  </si>
  <si>
    <t>DB185,DBB1890</t>
  </si>
  <si>
    <t>741电动葫芦</t>
  </si>
  <si>
    <t>DB185,DBB1908</t>
  </si>
  <si>
    <t>336y油泵电机</t>
  </si>
  <si>
    <t>DB185,DBB1926</t>
  </si>
  <si>
    <t>336主电机</t>
  </si>
  <si>
    <t>DB185,DBB1944</t>
  </si>
  <si>
    <t>352y油泵电机</t>
  </si>
  <si>
    <t>DB185,DBB1962</t>
  </si>
  <si>
    <t>DB185,DBB1980</t>
  </si>
  <si>
    <t>DB185,DBB1998</t>
  </si>
  <si>
    <t>DB185,DBB2016</t>
  </si>
  <si>
    <t>338f风扇电机</t>
  </si>
  <si>
    <t>DB185,DBB2034</t>
  </si>
  <si>
    <t>372加药装置</t>
  </si>
  <si>
    <t>DB185,DBB2052</t>
  </si>
  <si>
    <t>371加药装置</t>
  </si>
  <si>
    <t>DB185,DBB2070</t>
  </si>
  <si>
    <t>354压滤排污泵</t>
  </si>
  <si>
    <t>DB185,DBB2088</t>
  </si>
  <si>
    <t>406B浓缩池排污泵</t>
  </si>
  <si>
    <t>DB185,DBB2106</t>
  </si>
  <si>
    <t>406A浓缩池排污泵</t>
  </si>
  <si>
    <t>DB185,DBB2124</t>
  </si>
  <si>
    <t>353煤泥转载皮带</t>
  </si>
  <si>
    <t>DB185,DBB2142</t>
  </si>
  <si>
    <t>328轴封水泵</t>
  </si>
  <si>
    <t>DB185,DBB2160</t>
  </si>
  <si>
    <t>407电动葫芦</t>
  </si>
  <si>
    <t>DB185,DBB2178</t>
  </si>
  <si>
    <t>DB185,DBB2196</t>
  </si>
  <si>
    <t>356轴封水泵</t>
  </si>
  <si>
    <t>DB185,DBB2214</t>
  </si>
  <si>
    <t>DB185,DBB2232</t>
  </si>
  <si>
    <t>DB185,DBB2250</t>
  </si>
  <si>
    <t>DB185,DBB2268</t>
  </si>
  <si>
    <t>DB185,DBB2286</t>
  </si>
  <si>
    <t>702B精煤采样</t>
  </si>
  <si>
    <t>DB185,DBB2304</t>
  </si>
  <si>
    <t>701B混煤采样</t>
  </si>
  <si>
    <t>DB185,DBB2322</t>
  </si>
  <si>
    <t>DB185,DBB2340</t>
  </si>
  <si>
    <t>711y油泵电机</t>
  </si>
  <si>
    <t>DB185,DBB2358</t>
  </si>
  <si>
    <t>711b分级筛</t>
  </si>
  <si>
    <t>DB185,DBB2376</t>
  </si>
  <si>
    <t>711a分级筛</t>
  </si>
  <si>
    <t>DB185,DBB2394</t>
  </si>
  <si>
    <t>713EZ液压站</t>
  </si>
  <si>
    <t>DB185,DBB2412</t>
  </si>
  <si>
    <t>713GZ液压站</t>
  </si>
  <si>
    <t>DB185,DBB2430</t>
  </si>
  <si>
    <t>713AZ液压站</t>
  </si>
  <si>
    <t>DB185,DBB2448</t>
  </si>
  <si>
    <t>713CZ液压站</t>
  </si>
  <si>
    <t>DB185,DBB2466</t>
  </si>
  <si>
    <t>712EZ液压站</t>
  </si>
  <si>
    <t>DB185,DBB2484</t>
  </si>
  <si>
    <t>712GZ液压站</t>
  </si>
  <si>
    <t>DB185,DBB2502</t>
  </si>
  <si>
    <t>712AZ液压站</t>
  </si>
  <si>
    <t>DB185,DBB2520</t>
  </si>
  <si>
    <t>712CZ液压站</t>
  </si>
  <si>
    <t>DB185,DBB2538</t>
  </si>
  <si>
    <t>DB185,DBB2556</t>
  </si>
  <si>
    <t>DB185,DBB2574</t>
  </si>
  <si>
    <t>325起重机</t>
  </si>
  <si>
    <t>DB185,DBB2592</t>
  </si>
  <si>
    <t>DB185,DBB2610</t>
  </si>
  <si>
    <t>1ACL-Z应急照明电源</t>
  </si>
  <si>
    <t>DB185,DBB2628</t>
  </si>
  <si>
    <t>PSB2X11消防排水泵</t>
  </si>
  <si>
    <t>DB185,DBB2646</t>
  </si>
  <si>
    <t>DB185,DBB2664</t>
  </si>
  <si>
    <t>HRJZ1X换热机组电源</t>
  </si>
  <si>
    <t>DB185,DBB2682</t>
  </si>
  <si>
    <t>DB185,DBB2700</t>
  </si>
  <si>
    <t>DB185,DBB2718</t>
  </si>
  <si>
    <t>1AL-1照明总电源</t>
  </si>
  <si>
    <t>DB185,DBB2736</t>
  </si>
  <si>
    <t>DB185,DBB2754</t>
  </si>
  <si>
    <t>DB185,DBB2772</t>
  </si>
  <si>
    <t>DB185,DBB2790</t>
  </si>
  <si>
    <t>DB185,DBB2808</t>
  </si>
  <si>
    <t>DB185,DBB2826</t>
  </si>
  <si>
    <t>DB185,DBB2844</t>
  </si>
  <si>
    <t>DB185,DBB2862</t>
  </si>
  <si>
    <t>31WYB消防水泵</t>
  </si>
  <si>
    <t>DB185,DBB2880</t>
  </si>
  <si>
    <t>RSJZX热水机电源</t>
  </si>
  <si>
    <t>DB185,DBB2898</t>
  </si>
  <si>
    <t>JHZMX交换站照明电源</t>
  </si>
  <si>
    <t>DB185,DBB2916</t>
  </si>
  <si>
    <t>1AL-1矸石仓照明电源</t>
  </si>
  <si>
    <t>DB185,DBB2934</t>
  </si>
  <si>
    <t>11AP皮带检修电源</t>
  </si>
  <si>
    <t>DB185,DBB2952</t>
  </si>
  <si>
    <t>31WYB消防水泵1</t>
  </si>
  <si>
    <t>DB185,DBB2970</t>
  </si>
  <si>
    <t>PSB储煤场排水泵</t>
  </si>
  <si>
    <t>DB185,DBB2988</t>
  </si>
  <si>
    <t>1ACL-Z应急照明电源1</t>
  </si>
  <si>
    <t>DB185,DBB3006</t>
  </si>
  <si>
    <t>1AL-Z产品仓照明电源</t>
  </si>
  <si>
    <t>DB185,DBB3024</t>
  </si>
  <si>
    <t>DB185,DBB3042</t>
  </si>
  <si>
    <t>HRJZ2X换热机电源</t>
  </si>
  <si>
    <t>DB185,DBB3060</t>
  </si>
  <si>
    <t>DB185,DBB3078</t>
  </si>
  <si>
    <t>DB185,DBB3096</t>
  </si>
  <si>
    <t>DB185,DBB3114</t>
  </si>
  <si>
    <t>DB185,DBB3132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</si>
</sst>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indexed="8"/>
      <name val="方正仿宋_GB2312"/>
      <charset val="134"/>
    </font>
    <font>
      <sz val="11"/>
      <color indexed="8"/>
      <name val="方正仿宋_GB2312"/>
      <charset val="134"/>
    </font>
    <font>
      <sz val="10"/>
      <color indexed="8"/>
      <name val="方正仿宋_GB2312"/>
      <charset val="134"/>
    </font>
    <font>
      <sz val="11"/>
      <name val="方正仿宋_GB2312"/>
      <charset val="134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 applyProtection="1">
      <alignment horizontal="center" vertical="center"/>
      <protection locked="0"/>
    </xf>
    <xf numFmtId="177" fontId="3" fillId="0" borderId="1" xfId="0" applyNumberFormat="1" applyFont="1" applyFill="1" applyBorder="1" applyAlignment="1" applyProtection="1">
      <alignment horizontal="center" vertical="center"/>
      <protection locked="0"/>
    </xf>
    <xf numFmtId="177" fontId="4" fillId="3" borderId="1" xfId="0" applyNumberFormat="1" applyFont="1" applyFill="1" applyBorder="1" applyAlignment="1" applyProtection="1">
      <alignment horizontal="center"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49" fontId="3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177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vertical="center"/>
    </xf>
    <xf numFmtId="177" fontId="6" fillId="3" borderId="1" xfId="0" applyNumberFormat="1" applyFont="1" applyFill="1" applyBorder="1" applyAlignment="1" applyProtection="1">
      <alignment horizontal="center" vertical="center"/>
      <protection locked="0"/>
    </xf>
    <xf numFmtId="49" fontId="6" fillId="3" borderId="1" xfId="0" applyNumberFormat="1" applyFont="1" applyFill="1" applyBorder="1" applyAlignment="1" applyProtection="1">
      <alignment horizontal="center" vertical="center"/>
      <protection locked="0"/>
    </xf>
    <xf numFmtId="177" fontId="6" fillId="3" borderId="2" xfId="0" applyNumberFormat="1" applyFont="1" applyFill="1" applyBorder="1" applyAlignment="1" applyProtection="1">
      <alignment horizontal="center" vertical="center"/>
      <protection locked="0"/>
    </xf>
    <xf numFmtId="49" fontId="6" fillId="3" borderId="2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218"/>
  <sheetViews>
    <sheetView tabSelected="1" topLeftCell="A2" workbookViewId="0">
      <pane ySplit="1" topLeftCell="A60" activePane="bottomLeft" state="frozen"/>
      <selection/>
      <selection pane="bottomLeft" activeCell="C76" sqref="C76"/>
    </sheetView>
  </sheetViews>
  <sheetFormatPr defaultColWidth="9" defaultRowHeight="14"/>
  <cols>
    <col min="1" max="1" width="9" style="1"/>
    <col min="2" max="2" width="22.5454545454545" style="1" customWidth="1"/>
    <col min="3" max="3" width="39.7272727272727" style="5" customWidth="1"/>
    <col min="4" max="4" width="39.1818181818182" customWidth="1"/>
    <col min="6" max="6" width="25.8181818181818" hidden="1" customWidth="1"/>
    <col min="7" max="9" width="9" hidden="1" customWidth="1"/>
    <col min="10" max="10" width="13.2727272727273" hidden="1" customWidth="1"/>
    <col min="12" max="12" width="12.7272727272727" customWidth="1"/>
    <col min="13" max="14" width="16.6363636363636" customWidth="1"/>
    <col min="17" max="17" width="11.8181818181818" customWidth="1"/>
    <col min="18" max="18" width="36" customWidth="1"/>
  </cols>
  <sheetData>
    <row r="1" ht="35" hidden="1" customHeight="1" spans="1:16">
      <c r="A1" s="3"/>
      <c r="B1" s="7" t="s">
        <v>0</v>
      </c>
      <c r="C1" s="7" t="s">
        <v>1</v>
      </c>
    </row>
    <row r="2" ht="25" customHeight="1" spans="1:16">
      <c r="A2" s="8" t="s">
        <v>2</v>
      </c>
      <c r="B2" s="9" t="s">
        <v>3</v>
      </c>
      <c r="C2" s="10"/>
      <c r="D2" s="11"/>
      <c r="E2" s="11"/>
      <c r="F2" s="11"/>
      <c r="G2" s="11"/>
      <c r="H2" s="11"/>
      <c r="I2" s="11"/>
      <c r="J2" s="11"/>
      <c r="K2" s="11"/>
      <c r="L2" s="8" t="s">
        <v>4</v>
      </c>
      <c r="M2" s="8" t="s">
        <v>5</v>
      </c>
      <c r="N2" s="8" t="s">
        <v>6</v>
      </c>
      <c r="O2" s="8" t="s">
        <v>7</v>
      </c>
      <c r="P2" s="8" t="s">
        <v>8</v>
      </c>
    </row>
    <row r="3" ht="15" customHeight="1" spans="1:16">
      <c r="A3" s="3">
        <v>1</v>
      </c>
      <c r="B3" s="7">
        <v>404</v>
      </c>
      <c r="C3" s="12" t="s">
        <v>9</v>
      </c>
      <c r="D3" t="s">
        <v>10</v>
      </c>
      <c r="F3" s="13" t="s">
        <v>9</v>
      </c>
      <c r="G3" s="14">
        <v>404</v>
      </c>
      <c r="J3" t="s">
        <v>11</v>
      </c>
      <c r="L3" s="15" t="s">
        <v>12</v>
      </c>
      <c r="M3" s="16" t="s">
        <v>13</v>
      </c>
      <c r="N3" s="17" t="s">
        <v>14</v>
      </c>
      <c r="O3" s="15" t="s">
        <v>15</v>
      </c>
      <c r="P3" s="15" t="s">
        <v>16</v>
      </c>
    </row>
    <row r="4" ht="15" customHeight="1" spans="1:16">
      <c r="A4" s="3">
        <v>2</v>
      </c>
      <c r="B4" s="7">
        <v>301</v>
      </c>
      <c r="C4" s="21" t="s">
        <v>17</v>
      </c>
      <c r="D4" t="s">
        <v>18</v>
      </c>
      <c r="F4" s="22" t="s">
        <v>19</v>
      </c>
      <c r="G4" s="14" t="s">
        <v>20</v>
      </c>
      <c r="J4" t="s">
        <v>21</v>
      </c>
      <c r="L4" s="17" t="s">
        <v>22</v>
      </c>
      <c r="M4" s="23" t="s">
        <v>23</v>
      </c>
      <c r="N4" s="23" t="s">
        <v>24</v>
      </c>
      <c r="O4" s="17" t="s">
        <v>25</v>
      </c>
      <c r="P4" s="17" t="s">
        <v>26</v>
      </c>
    </row>
    <row r="5" ht="15" customHeight="1" spans="1:16">
      <c r="A5" s="3">
        <v>3</v>
      </c>
      <c r="B5" s="7">
        <v>121</v>
      </c>
      <c r="C5" s="21" t="s">
        <v>27</v>
      </c>
      <c r="D5" t="s">
        <v>28</v>
      </c>
      <c r="F5" s="25" t="s">
        <v>29</v>
      </c>
      <c r="G5" s="14" t="s">
        <v>30</v>
      </c>
      <c r="J5" t="s">
        <v>31</v>
      </c>
      <c r="L5" s="17" t="s">
        <v>32</v>
      </c>
      <c r="M5" s="23" t="s">
        <v>33</v>
      </c>
      <c r="N5" s="23" t="s">
        <v>34</v>
      </c>
      <c r="O5" s="17" t="s">
        <v>35</v>
      </c>
      <c r="P5" s="17" t="s">
        <v>36</v>
      </c>
    </row>
    <row r="6" ht="15" customHeight="1" spans="1:16">
      <c r="A6" s="3">
        <v>4</v>
      </c>
      <c r="B6" s="7">
        <v>141</v>
      </c>
      <c r="C6" s="21" t="s">
        <v>37</v>
      </c>
      <c r="D6" t="s">
        <v>38</v>
      </c>
      <c r="F6" s="25" t="s">
        <v>39</v>
      </c>
      <c r="G6" s="14" t="s">
        <v>40</v>
      </c>
      <c r="J6" t="s">
        <v>41</v>
      </c>
      <c r="L6" s="17" t="s">
        <v>42</v>
      </c>
      <c r="M6" s="17" t="s">
        <v>43</v>
      </c>
      <c r="N6" s="17" t="s">
        <v>44</v>
      </c>
      <c r="O6" s="17" t="s">
        <v>45</v>
      </c>
      <c r="P6" s="17" t="s">
        <v>46</v>
      </c>
    </row>
    <row r="7" ht="15" customHeight="1" spans="1:16">
      <c r="A7" s="3">
        <v>5</v>
      </c>
      <c r="B7" s="7" t="s">
        <v>20</v>
      </c>
      <c r="C7" s="21" t="s">
        <v>19</v>
      </c>
      <c r="D7" t="s">
        <v>47</v>
      </c>
      <c r="F7" s="22" t="s">
        <v>48</v>
      </c>
      <c r="G7" s="14" t="s">
        <v>49</v>
      </c>
      <c r="J7" t="s">
        <v>50</v>
      </c>
      <c r="L7" s="17" t="s">
        <v>51</v>
      </c>
      <c r="M7" s="17" t="s">
        <v>52</v>
      </c>
      <c r="N7" s="23" t="s">
        <v>53</v>
      </c>
      <c r="O7" s="17" t="s">
        <v>54</v>
      </c>
      <c r="P7" s="17" t="s">
        <v>55</v>
      </c>
    </row>
    <row r="8" ht="15" customHeight="1" spans="1:16">
      <c r="A8" s="3">
        <v>6</v>
      </c>
      <c r="B8" s="7" t="s">
        <v>30</v>
      </c>
      <c r="C8" s="21" t="s">
        <v>56</v>
      </c>
      <c r="D8" t="s">
        <v>57</v>
      </c>
      <c r="F8" s="25" t="s">
        <v>58</v>
      </c>
      <c r="G8" s="14" t="s">
        <v>59</v>
      </c>
      <c r="J8" t="s">
        <v>60</v>
      </c>
      <c r="L8" s="17" t="s">
        <v>61</v>
      </c>
      <c r="M8" s="17" t="s">
        <v>62</v>
      </c>
      <c r="N8" s="17" t="s">
        <v>63</v>
      </c>
      <c r="O8" s="17" t="s">
        <v>64</v>
      </c>
      <c r="P8" s="17" t="s">
        <v>65</v>
      </c>
    </row>
    <row r="9" ht="15" customHeight="1" spans="1:16">
      <c r="A9" s="3">
        <v>7</v>
      </c>
      <c r="B9" s="7" t="s">
        <v>40</v>
      </c>
      <c r="C9" s="21" t="s">
        <v>56</v>
      </c>
      <c r="D9" t="s">
        <v>66</v>
      </c>
      <c r="F9" s="25" t="s">
        <v>67</v>
      </c>
      <c r="G9" s="14" t="s">
        <v>68</v>
      </c>
      <c r="J9" t="s">
        <v>69</v>
      </c>
      <c r="L9" s="17" t="s">
        <v>70</v>
      </c>
      <c r="M9" s="17" t="s">
        <v>71</v>
      </c>
      <c r="N9" s="17" t="s">
        <v>72</v>
      </c>
      <c r="O9" s="17" t="s">
        <v>73</v>
      </c>
      <c r="P9" s="17" t="s">
        <v>74</v>
      </c>
    </row>
    <row r="10" ht="15" customHeight="1" spans="1:16">
      <c r="A10" s="3">
        <v>8</v>
      </c>
      <c r="B10" s="7" t="s">
        <v>49</v>
      </c>
      <c r="C10" s="21" t="s">
        <v>48</v>
      </c>
      <c r="D10" t="s">
        <v>75</v>
      </c>
      <c r="F10" s="22" t="s">
        <v>76</v>
      </c>
      <c r="G10" s="14" t="s">
        <v>77</v>
      </c>
      <c r="J10" t="s">
        <v>78</v>
      </c>
      <c r="L10" s="17" t="s">
        <v>79</v>
      </c>
      <c r="M10" s="17" t="s">
        <v>80</v>
      </c>
      <c r="N10" s="17" t="s">
        <v>81</v>
      </c>
      <c r="O10" s="17" t="s">
        <v>82</v>
      </c>
      <c r="P10" s="17" t="s">
        <v>83</v>
      </c>
    </row>
    <row r="11" ht="15" customHeight="1" spans="1:16">
      <c r="A11" s="3">
        <v>9</v>
      </c>
      <c r="B11" s="7" t="s">
        <v>59</v>
      </c>
      <c r="C11" s="21" t="s">
        <v>84</v>
      </c>
      <c r="D11" t="s">
        <v>85</v>
      </c>
      <c r="F11" s="22" t="s">
        <v>86</v>
      </c>
      <c r="G11" s="14" t="s">
        <v>87</v>
      </c>
      <c r="J11" t="s">
        <v>88</v>
      </c>
      <c r="L11" s="17" t="s">
        <v>89</v>
      </c>
      <c r="M11" s="17" t="s">
        <v>90</v>
      </c>
      <c r="N11" s="17" t="s">
        <v>91</v>
      </c>
      <c r="O11" s="17" t="s">
        <v>92</v>
      </c>
      <c r="P11" s="17" t="s">
        <v>93</v>
      </c>
    </row>
    <row r="12" ht="15" customHeight="1" spans="1:16">
      <c r="A12" s="3">
        <v>10</v>
      </c>
      <c r="B12" s="7" t="s">
        <v>68</v>
      </c>
      <c r="C12" s="21" t="s">
        <v>84</v>
      </c>
      <c r="D12" t="s">
        <v>94</v>
      </c>
      <c r="F12" s="22" t="s">
        <v>95</v>
      </c>
      <c r="G12" s="14">
        <v>907</v>
      </c>
      <c r="J12" t="s">
        <v>96</v>
      </c>
      <c r="L12" s="17" t="s">
        <v>97</v>
      </c>
      <c r="M12" s="17" t="s">
        <v>98</v>
      </c>
      <c r="N12" s="17" t="s">
        <v>99</v>
      </c>
      <c r="O12" s="17" t="s">
        <v>100</v>
      </c>
      <c r="P12" s="17" t="s">
        <v>101</v>
      </c>
    </row>
    <row r="13" ht="15" customHeight="1" spans="1:16">
      <c r="A13" s="3">
        <v>11</v>
      </c>
      <c r="B13" s="7">
        <v>152</v>
      </c>
      <c r="C13" s="21" t="s">
        <v>102</v>
      </c>
      <c r="D13" t="s">
        <v>103</v>
      </c>
      <c r="F13" s="22" t="s">
        <v>104</v>
      </c>
      <c r="G13" s="14" t="s">
        <v>105</v>
      </c>
      <c r="J13" t="s">
        <v>106</v>
      </c>
      <c r="L13" s="17" t="s">
        <v>107</v>
      </c>
      <c r="M13" s="17" t="s">
        <v>108</v>
      </c>
      <c r="N13" s="17" t="s">
        <v>109</v>
      </c>
      <c r="O13" s="17" t="s">
        <v>110</v>
      </c>
      <c r="P13" s="17" t="s">
        <v>111</v>
      </c>
    </row>
    <row r="14" ht="15" customHeight="1" spans="1:16">
      <c r="A14" s="3">
        <v>12</v>
      </c>
      <c r="B14" s="7">
        <v>154</v>
      </c>
      <c r="C14" s="21" t="s">
        <v>112</v>
      </c>
      <c r="D14" t="s">
        <v>113</v>
      </c>
      <c r="F14" s="22" t="s">
        <v>104</v>
      </c>
      <c r="G14" s="14" t="s">
        <v>114</v>
      </c>
      <c r="J14" t="s">
        <v>115</v>
      </c>
      <c r="L14" s="17" t="s">
        <v>116</v>
      </c>
      <c r="M14" s="17" t="s">
        <v>117</v>
      </c>
      <c r="N14" s="17" t="s">
        <v>118</v>
      </c>
      <c r="O14" s="17" t="s">
        <v>119</v>
      </c>
      <c r="P14" s="17" t="s">
        <v>120</v>
      </c>
    </row>
    <row r="15" ht="15" customHeight="1" spans="1:16">
      <c r="A15" s="3">
        <v>13</v>
      </c>
      <c r="B15" s="7">
        <v>155</v>
      </c>
      <c r="C15" s="21" t="s">
        <v>121</v>
      </c>
      <c r="D15" t="s">
        <v>122</v>
      </c>
      <c r="F15" s="22" t="s">
        <v>123</v>
      </c>
      <c r="G15" s="14" t="s">
        <v>124</v>
      </c>
      <c r="J15" t="s">
        <v>125</v>
      </c>
      <c r="L15" s="17" t="s">
        <v>126</v>
      </c>
      <c r="M15" s="17" t="s">
        <v>127</v>
      </c>
      <c r="N15" s="17" t="s">
        <v>128</v>
      </c>
      <c r="O15" s="17" t="s">
        <v>129</v>
      </c>
      <c r="P15" s="17" t="s">
        <v>130</v>
      </c>
    </row>
    <row r="16" ht="15" customHeight="1" spans="1:16">
      <c r="A16" s="3">
        <v>14</v>
      </c>
      <c r="B16" s="7">
        <v>911</v>
      </c>
      <c r="C16" s="21" t="s">
        <v>131</v>
      </c>
      <c r="D16" t="s">
        <v>132</v>
      </c>
      <c r="F16" s="22" t="s">
        <v>123</v>
      </c>
      <c r="G16" s="14" t="s">
        <v>133</v>
      </c>
      <c r="J16" t="s">
        <v>134</v>
      </c>
      <c r="L16" s="17" t="s">
        <v>135</v>
      </c>
      <c r="M16" s="17" t="s">
        <v>136</v>
      </c>
      <c r="N16" s="17" t="s">
        <v>137</v>
      </c>
      <c r="O16" s="17" t="s">
        <v>138</v>
      </c>
      <c r="P16" s="17" t="s">
        <v>139</v>
      </c>
    </row>
    <row r="17" ht="15" customHeight="1" spans="1:16">
      <c r="A17" s="3">
        <v>15</v>
      </c>
      <c r="B17" s="7">
        <v>122</v>
      </c>
      <c r="C17" s="21" t="s">
        <v>140</v>
      </c>
      <c r="D17" t="s">
        <v>141</v>
      </c>
      <c r="F17" s="22" t="s">
        <v>142</v>
      </c>
      <c r="G17" s="14">
        <v>114</v>
      </c>
      <c r="J17" t="s">
        <v>143</v>
      </c>
      <c r="L17" s="17" t="s">
        <v>144</v>
      </c>
      <c r="M17" s="17" t="s">
        <v>145</v>
      </c>
      <c r="N17" s="17" t="s">
        <v>146</v>
      </c>
      <c r="O17" s="17" t="s">
        <v>147</v>
      </c>
      <c r="P17" s="17" t="s">
        <v>148</v>
      </c>
    </row>
    <row r="18" ht="15" customHeight="1" spans="1:16">
      <c r="A18" s="3">
        <v>16</v>
      </c>
      <c r="B18" s="7" t="s">
        <v>77</v>
      </c>
      <c r="C18" s="21" t="s">
        <v>76</v>
      </c>
      <c r="D18" t="s">
        <v>149</v>
      </c>
      <c r="F18" s="22" t="s">
        <v>150</v>
      </c>
      <c r="G18" s="14" t="s">
        <v>151</v>
      </c>
      <c r="J18" t="s">
        <v>152</v>
      </c>
      <c r="L18" s="17" t="s">
        <v>153</v>
      </c>
      <c r="M18" s="17" t="s">
        <v>154</v>
      </c>
      <c r="N18" s="17" t="s">
        <v>155</v>
      </c>
      <c r="O18" s="17" t="s">
        <v>156</v>
      </c>
      <c r="P18" s="17" t="s">
        <v>157</v>
      </c>
    </row>
    <row r="19" ht="15" customHeight="1" spans="1:16">
      <c r="A19" s="3">
        <v>17</v>
      </c>
      <c r="B19" s="7">
        <v>906</v>
      </c>
      <c r="C19" s="21" t="s">
        <v>158</v>
      </c>
      <c r="D19" t="s">
        <v>159</v>
      </c>
      <c r="F19" s="22" t="s">
        <v>150</v>
      </c>
      <c r="G19" s="14" t="s">
        <v>160</v>
      </c>
      <c r="J19" t="s">
        <v>161</v>
      </c>
      <c r="L19" s="17" t="s">
        <v>162</v>
      </c>
      <c r="M19" s="17" t="s">
        <v>163</v>
      </c>
      <c r="N19" s="17" t="s">
        <v>164</v>
      </c>
      <c r="O19" s="17" t="s">
        <v>165</v>
      </c>
      <c r="P19" s="17" t="s">
        <v>166</v>
      </c>
    </row>
    <row r="20" ht="15" customHeight="1" spans="1:16">
      <c r="A20" s="3">
        <v>18</v>
      </c>
      <c r="B20" s="7">
        <v>153</v>
      </c>
      <c r="C20" s="21" t="s">
        <v>167</v>
      </c>
      <c r="D20" t="s">
        <v>168</v>
      </c>
      <c r="F20" s="22" t="s">
        <v>169</v>
      </c>
      <c r="G20" s="14" t="s">
        <v>170</v>
      </c>
      <c r="J20" t="s">
        <v>171</v>
      </c>
      <c r="L20" s="17" t="s">
        <v>172</v>
      </c>
      <c r="M20" s="17" t="s">
        <v>173</v>
      </c>
      <c r="N20" s="17" t="s">
        <v>174</v>
      </c>
      <c r="O20" s="17" t="s">
        <v>175</v>
      </c>
      <c r="P20" s="17" t="s">
        <v>176</v>
      </c>
    </row>
    <row r="21" ht="15" customHeight="1" spans="1:16">
      <c r="A21" s="3">
        <v>19</v>
      </c>
      <c r="B21" s="7" t="s">
        <v>87</v>
      </c>
      <c r="C21" s="21" t="s">
        <v>86</v>
      </c>
      <c r="D21" t="s">
        <v>177</v>
      </c>
      <c r="F21" s="22" t="s">
        <v>178</v>
      </c>
      <c r="G21" s="14" t="s">
        <v>179</v>
      </c>
      <c r="J21" t="s">
        <v>180</v>
      </c>
      <c r="L21" s="17" t="s">
        <v>181</v>
      </c>
      <c r="M21" s="17" t="s">
        <v>182</v>
      </c>
      <c r="N21" s="17" t="s">
        <v>183</v>
      </c>
      <c r="O21" s="17" t="s">
        <v>184</v>
      </c>
      <c r="P21" s="17" t="s">
        <v>185</v>
      </c>
    </row>
    <row r="22" ht="15" customHeight="1" spans="1:16">
      <c r="A22" s="3">
        <v>20</v>
      </c>
      <c r="B22" s="7">
        <v>907</v>
      </c>
      <c r="C22" s="21" t="s">
        <v>95</v>
      </c>
      <c r="D22" t="s">
        <v>186</v>
      </c>
      <c r="F22" s="22" t="s">
        <v>187</v>
      </c>
      <c r="G22" s="14">
        <v>157</v>
      </c>
      <c r="J22" t="s">
        <v>188</v>
      </c>
      <c r="L22" s="17" t="s">
        <v>189</v>
      </c>
      <c r="M22" s="17" t="s">
        <v>190</v>
      </c>
      <c r="N22" s="17" t="s">
        <v>191</v>
      </c>
      <c r="O22" s="17" t="s">
        <v>192</v>
      </c>
      <c r="P22" s="17" t="s">
        <v>193</v>
      </c>
    </row>
    <row r="23" ht="15" customHeight="1" spans="1:16">
      <c r="A23" s="3">
        <v>21</v>
      </c>
      <c r="B23" s="7">
        <v>901</v>
      </c>
      <c r="C23" s="21" t="s">
        <v>194</v>
      </c>
      <c r="D23" t="s">
        <v>195</v>
      </c>
      <c r="F23" s="22" t="s">
        <v>196</v>
      </c>
      <c r="G23" s="14">
        <v>156</v>
      </c>
      <c r="J23" t="s">
        <v>197</v>
      </c>
      <c r="L23" s="17" t="s">
        <v>198</v>
      </c>
      <c r="M23" s="17" t="s">
        <v>199</v>
      </c>
      <c r="N23" s="17" t="s">
        <v>200</v>
      </c>
      <c r="O23" s="17" t="s">
        <v>201</v>
      </c>
      <c r="P23" s="17" t="s">
        <v>202</v>
      </c>
    </row>
    <row r="24" ht="15" customHeight="1" spans="1:16">
      <c r="A24" s="3">
        <v>22</v>
      </c>
      <c r="B24" s="7" t="s">
        <v>105</v>
      </c>
      <c r="C24" s="21" t="s">
        <v>104</v>
      </c>
      <c r="D24" t="s">
        <v>203</v>
      </c>
      <c r="F24" s="22" t="s">
        <v>204</v>
      </c>
      <c r="G24" s="14">
        <v>302</v>
      </c>
      <c r="J24" t="s">
        <v>205</v>
      </c>
      <c r="L24" s="17" t="s">
        <v>206</v>
      </c>
      <c r="M24" s="17" t="s">
        <v>207</v>
      </c>
      <c r="N24" s="17" t="s">
        <v>208</v>
      </c>
      <c r="O24" s="17" t="s">
        <v>209</v>
      </c>
      <c r="P24" s="17" t="s">
        <v>210</v>
      </c>
    </row>
    <row r="25" ht="15" customHeight="1" spans="1:16">
      <c r="A25" s="3">
        <v>23</v>
      </c>
      <c r="B25" s="7" t="s">
        <v>114</v>
      </c>
      <c r="C25" s="21" t="s">
        <v>104</v>
      </c>
      <c r="D25" t="s">
        <v>211</v>
      </c>
      <c r="F25" s="22" t="s">
        <v>212</v>
      </c>
      <c r="G25" s="14">
        <v>304</v>
      </c>
      <c r="J25" t="s">
        <v>213</v>
      </c>
      <c r="L25" s="17" t="s">
        <v>214</v>
      </c>
      <c r="M25" s="17" t="s">
        <v>215</v>
      </c>
      <c r="N25" s="17" t="s">
        <v>208</v>
      </c>
      <c r="O25" s="17" t="s">
        <v>216</v>
      </c>
      <c r="P25" s="17" t="s">
        <v>217</v>
      </c>
    </row>
    <row r="26" ht="15" customHeight="1" spans="1:16">
      <c r="A26" s="3">
        <v>24</v>
      </c>
      <c r="B26" s="7" t="s">
        <v>124</v>
      </c>
      <c r="C26" s="21" t="s">
        <v>123</v>
      </c>
      <c r="D26" t="s">
        <v>218</v>
      </c>
      <c r="F26" s="22" t="s">
        <v>212</v>
      </c>
      <c r="G26" s="14">
        <v>303</v>
      </c>
      <c r="J26" t="s">
        <v>219</v>
      </c>
      <c r="L26" s="17" t="s">
        <v>220</v>
      </c>
      <c r="M26" s="17" t="s">
        <v>221</v>
      </c>
      <c r="N26" s="17" t="s">
        <v>222</v>
      </c>
      <c r="O26" s="17" t="s">
        <v>223</v>
      </c>
      <c r="P26" s="17" t="s">
        <v>224</v>
      </c>
    </row>
    <row r="27" ht="15" customHeight="1" spans="1:16">
      <c r="A27" s="3">
        <v>25</v>
      </c>
      <c r="B27" s="7" t="s">
        <v>133</v>
      </c>
      <c r="C27" s="21" t="s">
        <v>123</v>
      </c>
      <c r="D27" t="s">
        <v>225</v>
      </c>
      <c r="F27" s="22" t="s">
        <v>226</v>
      </c>
      <c r="G27" s="14" t="s">
        <v>227</v>
      </c>
      <c r="J27" t="s">
        <v>228</v>
      </c>
      <c r="L27" s="17" t="s">
        <v>229</v>
      </c>
      <c r="M27" s="17" t="s">
        <v>230</v>
      </c>
      <c r="N27" s="17" t="s">
        <v>231</v>
      </c>
      <c r="O27" s="17" t="s">
        <v>232</v>
      </c>
      <c r="P27" s="17" t="s">
        <v>233</v>
      </c>
    </row>
    <row r="28" ht="15" customHeight="1" spans="1:16">
      <c r="A28" s="3">
        <v>26</v>
      </c>
      <c r="B28" s="7">
        <v>114</v>
      </c>
      <c r="C28" s="21" t="s">
        <v>142</v>
      </c>
      <c r="D28" t="s">
        <v>234</v>
      </c>
      <c r="F28" s="22" t="s">
        <v>226</v>
      </c>
      <c r="G28" s="14" t="s">
        <v>235</v>
      </c>
      <c r="J28" t="s">
        <v>236</v>
      </c>
      <c r="L28" s="17" t="s">
        <v>237</v>
      </c>
      <c r="M28" s="17" t="s">
        <v>238</v>
      </c>
      <c r="N28" s="17" t="s">
        <v>239</v>
      </c>
      <c r="O28" s="17" t="s">
        <v>240</v>
      </c>
      <c r="P28" s="17" t="s">
        <v>241</v>
      </c>
    </row>
    <row r="29" ht="15" customHeight="1" spans="1:16">
      <c r="A29" s="3">
        <v>27</v>
      </c>
      <c r="B29" s="7" t="s">
        <v>151</v>
      </c>
      <c r="C29" s="21" t="s">
        <v>150</v>
      </c>
      <c r="D29" t="s">
        <v>242</v>
      </c>
      <c r="F29" s="25" t="s">
        <v>243</v>
      </c>
      <c r="G29" s="14" t="s">
        <v>244</v>
      </c>
      <c r="J29" t="s">
        <v>245</v>
      </c>
      <c r="L29" s="17" t="s">
        <v>246</v>
      </c>
      <c r="M29" s="17" t="s">
        <v>247</v>
      </c>
      <c r="N29" s="17" t="s">
        <v>248</v>
      </c>
      <c r="O29" s="17" t="s">
        <v>249</v>
      </c>
      <c r="P29" s="17" t="s">
        <v>250</v>
      </c>
    </row>
    <row r="30" ht="15" customHeight="1" spans="1:16">
      <c r="A30" s="3">
        <v>28</v>
      </c>
      <c r="B30" s="7" t="s">
        <v>160</v>
      </c>
      <c r="C30" s="21" t="s">
        <v>150</v>
      </c>
      <c r="D30" t="s">
        <v>251</v>
      </c>
      <c r="F30" s="25" t="s">
        <v>252</v>
      </c>
      <c r="G30" s="14" t="s">
        <v>253</v>
      </c>
      <c r="J30" t="s">
        <v>254</v>
      </c>
      <c r="L30" s="17" t="s">
        <v>255</v>
      </c>
      <c r="M30" s="17" t="s">
        <v>256</v>
      </c>
      <c r="N30" s="17" t="s">
        <v>257</v>
      </c>
      <c r="O30" s="17" t="s">
        <v>258</v>
      </c>
      <c r="P30" s="17" t="s">
        <v>259</v>
      </c>
    </row>
    <row r="31" ht="15" customHeight="1" spans="1:16">
      <c r="A31" s="3">
        <v>29</v>
      </c>
      <c r="B31" s="7" t="s">
        <v>260</v>
      </c>
      <c r="C31" s="21" t="s">
        <v>261</v>
      </c>
      <c r="D31" t="s">
        <v>262</v>
      </c>
      <c r="F31" s="22" t="s">
        <v>263</v>
      </c>
      <c r="G31" s="14">
        <v>310</v>
      </c>
      <c r="J31" t="s">
        <v>264</v>
      </c>
      <c r="L31" s="17" t="s">
        <v>265</v>
      </c>
      <c r="M31" s="17" t="s">
        <v>266</v>
      </c>
      <c r="N31" s="17" t="s">
        <v>267</v>
      </c>
      <c r="O31" s="17" t="s">
        <v>268</v>
      </c>
      <c r="P31" s="17" t="s">
        <v>269</v>
      </c>
    </row>
    <row r="32" ht="15" customHeight="1" spans="1:16">
      <c r="A32" s="3">
        <v>30</v>
      </c>
      <c r="B32" s="7" t="s">
        <v>270</v>
      </c>
      <c r="C32" s="21" t="s">
        <v>271</v>
      </c>
      <c r="D32" t="s">
        <v>272</v>
      </c>
      <c r="F32" s="22" t="s">
        <v>273</v>
      </c>
      <c r="G32" s="14">
        <v>357</v>
      </c>
      <c r="J32" t="s">
        <v>274</v>
      </c>
      <c r="L32" s="17" t="s">
        <v>275</v>
      </c>
      <c r="M32" s="17" t="s">
        <v>276</v>
      </c>
      <c r="N32" s="17" t="s">
        <v>277</v>
      </c>
      <c r="O32" s="17" t="s">
        <v>278</v>
      </c>
      <c r="P32" s="17" t="s">
        <v>279</v>
      </c>
    </row>
    <row r="33" ht="15" customHeight="1" spans="1:16">
      <c r="A33" s="3">
        <v>31</v>
      </c>
      <c r="B33" s="7" t="s">
        <v>280</v>
      </c>
      <c r="C33" s="21" t="s">
        <v>271</v>
      </c>
      <c r="D33" t="s">
        <v>281</v>
      </c>
      <c r="F33" s="22" t="s">
        <v>282</v>
      </c>
      <c r="G33" s="14">
        <v>318</v>
      </c>
      <c r="J33" t="s">
        <v>283</v>
      </c>
      <c r="L33" s="17" t="s">
        <v>284</v>
      </c>
      <c r="M33" s="17" t="s">
        <v>285</v>
      </c>
      <c r="N33" s="17" t="s">
        <v>286</v>
      </c>
      <c r="O33" s="17" t="s">
        <v>287</v>
      </c>
      <c r="P33" s="17" t="s">
        <v>288</v>
      </c>
    </row>
    <row r="34" ht="15" customHeight="1" spans="1:16">
      <c r="A34" s="3">
        <v>32</v>
      </c>
      <c r="B34" s="7">
        <v>113</v>
      </c>
      <c r="C34" s="21" t="s">
        <v>289</v>
      </c>
      <c r="D34" t="s">
        <v>290</v>
      </c>
      <c r="F34" s="22" t="s">
        <v>291</v>
      </c>
      <c r="G34" s="14">
        <v>327</v>
      </c>
      <c r="J34" t="s">
        <v>292</v>
      </c>
      <c r="L34" s="17" t="s">
        <v>293</v>
      </c>
      <c r="M34" s="17" t="s">
        <v>294</v>
      </c>
      <c r="N34" s="17" t="s">
        <v>295</v>
      </c>
      <c r="O34" s="17" t="s">
        <v>296</v>
      </c>
      <c r="P34" s="17" t="s">
        <v>297</v>
      </c>
    </row>
    <row r="35" ht="15" customHeight="1" spans="1:16">
      <c r="A35" s="3">
        <v>33</v>
      </c>
      <c r="B35" s="7" t="s">
        <v>170</v>
      </c>
      <c r="C35" s="21" t="s">
        <v>169</v>
      </c>
      <c r="D35" t="s">
        <v>298</v>
      </c>
      <c r="F35" s="22" t="s">
        <v>299</v>
      </c>
      <c r="G35" s="14">
        <v>307</v>
      </c>
      <c r="J35" t="s">
        <v>300</v>
      </c>
      <c r="L35" s="17" t="s">
        <v>301</v>
      </c>
      <c r="M35" s="17" t="s">
        <v>302</v>
      </c>
      <c r="N35" s="17" t="s">
        <v>303</v>
      </c>
      <c r="O35" s="17" t="s">
        <v>304</v>
      </c>
      <c r="P35" s="17" t="s">
        <v>305</v>
      </c>
    </row>
    <row r="36" ht="15" customHeight="1" spans="1:16">
      <c r="A36" s="3">
        <v>34</v>
      </c>
      <c r="B36" s="7" t="s">
        <v>179</v>
      </c>
      <c r="C36" s="21" t="s">
        <v>178</v>
      </c>
      <c r="D36" t="s">
        <v>306</v>
      </c>
      <c r="F36" s="22" t="s">
        <v>307</v>
      </c>
      <c r="G36" s="14">
        <v>306</v>
      </c>
      <c r="J36" t="s">
        <v>308</v>
      </c>
      <c r="L36" s="17" t="s">
        <v>309</v>
      </c>
      <c r="M36" s="17" t="s">
        <v>310</v>
      </c>
      <c r="N36" s="17" t="s">
        <v>311</v>
      </c>
      <c r="O36" s="17" t="s">
        <v>312</v>
      </c>
      <c r="P36" s="17" t="s">
        <v>313</v>
      </c>
    </row>
    <row r="37" ht="15" customHeight="1" spans="1:16">
      <c r="A37" s="3">
        <v>35</v>
      </c>
      <c r="B37" s="7">
        <v>157</v>
      </c>
      <c r="C37" s="21" t="s">
        <v>187</v>
      </c>
      <c r="D37" t="s">
        <v>314</v>
      </c>
      <c r="F37" s="22" t="s">
        <v>307</v>
      </c>
      <c r="G37" s="14">
        <v>305</v>
      </c>
      <c r="J37" t="s">
        <v>315</v>
      </c>
      <c r="L37" s="17" t="s">
        <v>316</v>
      </c>
      <c r="M37" s="17" t="s">
        <v>317</v>
      </c>
      <c r="N37" s="17" t="s">
        <v>318</v>
      </c>
      <c r="O37" s="17" t="s">
        <v>319</v>
      </c>
      <c r="P37" s="17" t="s">
        <v>320</v>
      </c>
    </row>
    <row r="38" ht="15" customHeight="1" spans="1:16">
      <c r="A38" s="3">
        <v>36</v>
      </c>
      <c r="B38" s="7">
        <v>156</v>
      </c>
      <c r="C38" s="21" t="s">
        <v>196</v>
      </c>
      <c r="D38" t="s">
        <v>321</v>
      </c>
      <c r="F38" s="22" t="s">
        <v>322</v>
      </c>
      <c r="G38" s="14" t="s">
        <v>323</v>
      </c>
      <c r="J38" t="s">
        <v>324</v>
      </c>
      <c r="L38" s="17" t="s">
        <v>325</v>
      </c>
      <c r="M38" s="17" t="s">
        <v>326</v>
      </c>
      <c r="N38" s="17" t="s">
        <v>327</v>
      </c>
      <c r="O38" s="17" t="s">
        <v>328</v>
      </c>
      <c r="P38" s="17" t="s">
        <v>329</v>
      </c>
    </row>
    <row r="39" ht="15" customHeight="1" spans="1:16">
      <c r="A39" s="3">
        <v>37</v>
      </c>
      <c r="B39" s="7" t="s">
        <v>330</v>
      </c>
      <c r="C39" s="21" t="s">
        <v>331</v>
      </c>
      <c r="D39" t="str">
        <f>B39&amp;C39</f>
        <v>304/A排料溜槽电液动闸门</v>
      </c>
      <c r="F39" s="22" t="s">
        <v>332</v>
      </c>
      <c r="G39" s="14" t="s">
        <v>333</v>
      </c>
      <c r="J39" t="s">
        <v>334</v>
      </c>
      <c r="L39" s="17" t="s">
        <v>335</v>
      </c>
      <c r="M39" s="17" t="s">
        <v>336</v>
      </c>
      <c r="N39" s="17" t="s">
        <v>337</v>
      </c>
      <c r="O39" s="17" t="s">
        <v>338</v>
      </c>
      <c r="P39" s="17" t="s">
        <v>339</v>
      </c>
    </row>
    <row r="40" ht="15" customHeight="1" spans="1:16">
      <c r="A40" s="3">
        <v>38</v>
      </c>
      <c r="B40" s="7" t="s">
        <v>340</v>
      </c>
      <c r="C40" s="21" t="s">
        <v>331</v>
      </c>
      <c r="D40" t="str">
        <f t="shared" ref="D40:D85" si="0">B40&amp;C40</f>
        <v>303/A排料溜槽电液动闸门</v>
      </c>
      <c r="F40" s="22" t="s">
        <v>332</v>
      </c>
      <c r="G40" s="14" t="s">
        <v>341</v>
      </c>
      <c r="J40" t="s">
        <v>342</v>
      </c>
      <c r="L40" s="17" t="s">
        <v>343</v>
      </c>
      <c r="M40" s="17" t="s">
        <v>344</v>
      </c>
      <c r="N40" s="17" t="s">
        <v>345</v>
      </c>
      <c r="O40" s="17" t="s">
        <v>346</v>
      </c>
      <c r="P40" s="17" t="s">
        <v>347</v>
      </c>
    </row>
    <row r="41" ht="15" customHeight="1" spans="1:16">
      <c r="A41" s="3">
        <v>39</v>
      </c>
      <c r="B41" s="3">
        <v>302</v>
      </c>
      <c r="C41" s="21" t="s">
        <v>204</v>
      </c>
      <c r="D41" t="str">
        <f t="shared" si="0"/>
        <v>302电磁除铁器</v>
      </c>
      <c r="F41" s="22" t="s">
        <v>348</v>
      </c>
      <c r="G41" s="14">
        <v>312</v>
      </c>
      <c r="J41" t="s">
        <v>349</v>
      </c>
      <c r="L41" s="17" t="s">
        <v>350</v>
      </c>
      <c r="M41" s="17" t="s">
        <v>351</v>
      </c>
      <c r="N41" s="17" t="s">
        <v>352</v>
      </c>
      <c r="O41" s="17" t="s">
        <v>353</v>
      </c>
      <c r="P41" s="17" t="s">
        <v>354</v>
      </c>
    </row>
    <row r="42" spans="1:16">
      <c r="A42" s="3">
        <v>40</v>
      </c>
      <c r="B42" s="26">
        <v>304</v>
      </c>
      <c r="C42" s="21" t="s">
        <v>212</v>
      </c>
      <c r="D42" t="str">
        <f t="shared" si="0"/>
        <v>304原煤分级筛</v>
      </c>
      <c r="F42" s="22" t="s">
        <v>355</v>
      </c>
      <c r="G42" s="14" t="s">
        <v>356</v>
      </c>
      <c r="J42" t="s">
        <v>357</v>
      </c>
      <c r="L42" s="17" t="s">
        <v>358</v>
      </c>
      <c r="M42" s="17" t="s">
        <v>359</v>
      </c>
      <c r="N42" s="17" t="s">
        <v>360</v>
      </c>
      <c r="O42" s="17" t="s">
        <v>361</v>
      </c>
      <c r="P42" s="17" t="s">
        <v>362</v>
      </c>
    </row>
    <row r="43" spans="1:16">
      <c r="A43" s="3">
        <v>41</v>
      </c>
      <c r="B43" s="26">
        <v>303</v>
      </c>
      <c r="C43" s="21" t="s">
        <v>212</v>
      </c>
      <c r="D43" t="str">
        <f t="shared" si="0"/>
        <v>303原煤分级筛</v>
      </c>
      <c r="F43" s="22" t="s">
        <v>355</v>
      </c>
      <c r="G43" s="14" t="s">
        <v>363</v>
      </c>
      <c r="J43" t="s">
        <v>364</v>
      </c>
      <c r="L43" s="17" t="s">
        <v>365</v>
      </c>
      <c r="M43" s="17" t="s">
        <v>366</v>
      </c>
      <c r="N43" s="17" t="s">
        <v>367</v>
      </c>
      <c r="O43" s="17" t="s">
        <v>368</v>
      </c>
      <c r="P43" s="17" t="s">
        <v>369</v>
      </c>
    </row>
    <row r="44" spans="1:16">
      <c r="A44" s="3">
        <v>42</v>
      </c>
      <c r="B44" s="26" t="s">
        <v>227</v>
      </c>
      <c r="C44" s="21" t="s">
        <v>226</v>
      </c>
      <c r="D44" t="str">
        <f t="shared" si="0"/>
        <v>310y块精煤离心机油泵电机</v>
      </c>
      <c r="F44" s="22" t="s">
        <v>370</v>
      </c>
      <c r="G44" s="14" t="s">
        <v>371</v>
      </c>
      <c r="J44" t="s">
        <v>372</v>
      </c>
      <c r="L44" s="17" t="s">
        <v>373</v>
      </c>
      <c r="M44" s="17" t="s">
        <v>374</v>
      </c>
      <c r="N44" s="17" t="s">
        <v>375</v>
      </c>
      <c r="O44" s="17" t="s">
        <v>376</v>
      </c>
      <c r="P44" s="17" t="s">
        <v>377</v>
      </c>
    </row>
    <row r="45" spans="1:16">
      <c r="A45" s="3">
        <v>43</v>
      </c>
      <c r="B45" s="26" t="s">
        <v>235</v>
      </c>
      <c r="C45" s="21" t="s">
        <v>226</v>
      </c>
      <c r="D45" t="str">
        <f t="shared" si="0"/>
        <v>309y块精煤离心机油泵电机</v>
      </c>
      <c r="F45" s="22" t="s">
        <v>370</v>
      </c>
      <c r="G45" s="14" t="s">
        <v>378</v>
      </c>
      <c r="J45" t="s">
        <v>379</v>
      </c>
      <c r="L45" s="17" t="s">
        <v>380</v>
      </c>
      <c r="M45" s="17" t="s">
        <v>381</v>
      </c>
      <c r="N45" s="17" t="s">
        <v>382</v>
      </c>
      <c r="O45" s="17" t="s">
        <v>383</v>
      </c>
      <c r="P45" s="17" t="s">
        <v>384</v>
      </c>
    </row>
    <row r="46" spans="1:16">
      <c r="A46" s="3">
        <v>44</v>
      </c>
      <c r="B46" s="26" t="s">
        <v>385</v>
      </c>
      <c r="C46" s="21" t="s">
        <v>386</v>
      </c>
      <c r="D46" t="str">
        <f t="shared" si="0"/>
        <v>310Z1块煤离心机振动电机</v>
      </c>
      <c r="F46" s="22" t="s">
        <v>370</v>
      </c>
      <c r="G46" s="14" t="s">
        <v>387</v>
      </c>
      <c r="J46" t="s">
        <v>388</v>
      </c>
      <c r="L46" s="17"/>
      <c r="M46" s="17"/>
      <c r="N46" s="17"/>
      <c r="O46" s="17"/>
      <c r="P46" s="17"/>
    </row>
    <row r="47" spans="1:16">
      <c r="A47" s="3">
        <v>45</v>
      </c>
      <c r="B47" s="26" t="s">
        <v>389</v>
      </c>
      <c r="C47" s="21" t="s">
        <v>386</v>
      </c>
      <c r="D47" t="str">
        <f t="shared" si="0"/>
        <v>310z2块煤离心机振动电机</v>
      </c>
      <c r="F47" s="22" t="s">
        <v>370</v>
      </c>
      <c r="G47" s="14" t="s">
        <v>390</v>
      </c>
      <c r="J47" t="s">
        <v>391</v>
      </c>
      <c r="L47" s="17"/>
      <c r="M47" s="17"/>
      <c r="N47" s="17"/>
      <c r="O47" s="17"/>
      <c r="P47" s="17"/>
    </row>
    <row r="48" spans="1:16">
      <c r="A48" s="3">
        <v>46</v>
      </c>
      <c r="B48" s="26">
        <v>310</v>
      </c>
      <c r="C48" s="21" t="s">
        <v>263</v>
      </c>
      <c r="D48" t="str">
        <f t="shared" si="0"/>
        <v>310块精煤离心机</v>
      </c>
      <c r="F48" s="22" t="s">
        <v>370</v>
      </c>
      <c r="G48" s="14" t="s">
        <v>392</v>
      </c>
      <c r="J48" t="s">
        <v>393</v>
      </c>
      <c r="L48" s="17" t="s">
        <v>394</v>
      </c>
      <c r="M48" s="17" t="s">
        <v>395</v>
      </c>
      <c r="N48" s="17" t="s">
        <v>396</v>
      </c>
      <c r="O48" s="17" t="s">
        <v>397</v>
      </c>
      <c r="P48" s="17" t="s">
        <v>398</v>
      </c>
    </row>
    <row r="49" spans="1:16">
      <c r="A49" s="3">
        <v>47</v>
      </c>
      <c r="B49" s="26">
        <v>309</v>
      </c>
      <c r="C49" s="21" t="s">
        <v>263</v>
      </c>
      <c r="D49" t="str">
        <f t="shared" si="0"/>
        <v>309块精煤离心机</v>
      </c>
      <c r="F49" s="22" t="s">
        <v>370</v>
      </c>
      <c r="G49" s="14" t="s">
        <v>399</v>
      </c>
      <c r="J49" t="s">
        <v>400</v>
      </c>
      <c r="L49" s="17" t="s">
        <v>401</v>
      </c>
      <c r="M49" s="17" t="s">
        <v>402</v>
      </c>
      <c r="N49" s="17" t="s">
        <v>403</v>
      </c>
      <c r="O49" s="17" t="s">
        <v>404</v>
      </c>
      <c r="P49" s="17" t="s">
        <v>405</v>
      </c>
    </row>
    <row r="50" spans="1:16">
      <c r="A50" s="3">
        <v>48</v>
      </c>
      <c r="B50" s="26">
        <v>357</v>
      </c>
      <c r="C50" s="21" t="s">
        <v>273</v>
      </c>
      <c r="D50" t="str">
        <f t="shared" si="0"/>
        <v>357除尘清水管道泵</v>
      </c>
      <c r="F50" s="22" t="s">
        <v>370</v>
      </c>
      <c r="G50" s="14" t="s">
        <v>406</v>
      </c>
      <c r="J50" t="s">
        <v>407</v>
      </c>
      <c r="L50" s="17" t="s">
        <v>408</v>
      </c>
      <c r="M50" s="17" t="s">
        <v>409</v>
      </c>
      <c r="N50" s="17" t="s">
        <v>410</v>
      </c>
      <c r="O50" s="17" t="s">
        <v>411</v>
      </c>
      <c r="P50" s="17" t="s">
        <v>412</v>
      </c>
    </row>
    <row r="51" spans="1:16">
      <c r="A51" s="3">
        <v>49</v>
      </c>
      <c r="B51" s="26">
        <v>319</v>
      </c>
      <c r="C51" s="21" t="s">
        <v>413</v>
      </c>
      <c r="D51" t="str">
        <f t="shared" si="0"/>
        <v>319块煤稀介磁选机</v>
      </c>
      <c r="F51" s="22" t="s">
        <v>370</v>
      </c>
      <c r="G51" s="14" t="s">
        <v>414</v>
      </c>
      <c r="J51" t="s">
        <v>415</v>
      </c>
      <c r="L51" s="17" t="s">
        <v>416</v>
      </c>
      <c r="M51" s="17" t="s">
        <v>417</v>
      </c>
      <c r="N51" s="17" t="s">
        <v>418</v>
      </c>
      <c r="O51" s="17" t="s">
        <v>419</v>
      </c>
      <c r="P51" s="17" t="s">
        <v>420</v>
      </c>
    </row>
    <row r="52" spans="1:16">
      <c r="A52" s="3">
        <v>50</v>
      </c>
      <c r="B52" s="26">
        <v>318</v>
      </c>
      <c r="C52" s="21" t="s">
        <v>282</v>
      </c>
      <c r="D52" t="str">
        <f t="shared" si="0"/>
        <v>318块煤筛介磁选机</v>
      </c>
      <c r="F52" s="22" t="s">
        <v>421</v>
      </c>
      <c r="G52" s="14">
        <v>902</v>
      </c>
      <c r="J52" t="s">
        <v>422</v>
      </c>
      <c r="L52" s="17" t="s">
        <v>423</v>
      </c>
      <c r="M52" s="17" t="s">
        <v>424</v>
      </c>
      <c r="N52" s="17" t="s">
        <v>425</v>
      </c>
      <c r="O52" s="17" t="s">
        <v>426</v>
      </c>
      <c r="P52" s="17" t="s">
        <v>427</v>
      </c>
    </row>
    <row r="53" spans="1:16">
      <c r="A53" s="3">
        <v>51</v>
      </c>
      <c r="B53" s="26">
        <v>317</v>
      </c>
      <c r="C53" s="21" t="s">
        <v>413</v>
      </c>
      <c r="D53" t="str">
        <f t="shared" si="0"/>
        <v>317块煤稀介磁选机</v>
      </c>
      <c r="F53" s="22" t="s">
        <v>428</v>
      </c>
      <c r="G53" s="14">
        <v>903</v>
      </c>
      <c r="J53" t="s">
        <v>429</v>
      </c>
      <c r="L53" s="17" t="s">
        <v>430</v>
      </c>
      <c r="M53" s="17" t="s">
        <v>431</v>
      </c>
      <c r="N53" s="17" t="s">
        <v>432</v>
      </c>
      <c r="O53" s="17" t="s">
        <v>433</v>
      </c>
      <c r="P53" s="17" t="s">
        <v>434</v>
      </c>
    </row>
    <row r="54" spans="1:16">
      <c r="A54" s="3">
        <v>52</v>
      </c>
      <c r="B54" s="26">
        <v>320</v>
      </c>
      <c r="C54" s="21" t="s">
        <v>435</v>
      </c>
      <c r="D54" t="str">
        <f t="shared" si="0"/>
        <v>320末煤收集刮板输送机</v>
      </c>
      <c r="F54" s="22" t="s">
        <v>436</v>
      </c>
      <c r="G54" s="14">
        <v>127</v>
      </c>
      <c r="J54" t="s">
        <v>437</v>
      </c>
      <c r="L54" s="17" t="s">
        <v>438</v>
      </c>
      <c r="M54" s="17" t="s">
        <v>439</v>
      </c>
      <c r="N54" s="17" t="s">
        <v>440</v>
      </c>
      <c r="O54" s="17" t="s">
        <v>441</v>
      </c>
      <c r="P54" s="17" t="s">
        <v>442</v>
      </c>
    </row>
    <row r="55" spans="1:16">
      <c r="A55" s="3">
        <v>53</v>
      </c>
      <c r="B55" s="26">
        <v>321</v>
      </c>
      <c r="C55" s="21" t="s">
        <v>443</v>
      </c>
      <c r="D55" t="str">
        <f t="shared" si="0"/>
        <v>321末煤转载刮板输送机</v>
      </c>
      <c r="F55" s="22" t="s">
        <v>444</v>
      </c>
      <c r="G55" s="14">
        <v>128</v>
      </c>
      <c r="J55" t="s">
        <v>445</v>
      </c>
      <c r="L55" s="17" t="s">
        <v>446</v>
      </c>
      <c r="M55" s="17" t="s">
        <v>447</v>
      </c>
      <c r="N55" s="17" t="s">
        <v>448</v>
      </c>
      <c r="O55" s="17" t="s">
        <v>449</v>
      </c>
      <c r="P55" s="17" t="s">
        <v>450</v>
      </c>
    </row>
    <row r="56" spans="1:16">
      <c r="A56" s="28">
        <v>54</v>
      </c>
      <c r="B56" s="28">
        <v>326</v>
      </c>
      <c r="C56" s="29" t="s">
        <v>451</v>
      </c>
      <c r="D56" s="27" t="str">
        <f t="shared" si="0"/>
        <v>326电动葫芦</v>
      </c>
      <c r="E56" s="27"/>
      <c r="F56" s="30" t="s">
        <v>444</v>
      </c>
      <c r="G56" s="31">
        <v>129</v>
      </c>
      <c r="H56" s="27"/>
      <c r="I56" s="27"/>
      <c r="J56" s="27" t="s">
        <v>452</v>
      </c>
      <c r="K56" s="27"/>
      <c r="L56" s="32" t="s">
        <v>453</v>
      </c>
      <c r="M56" s="32" t="s">
        <v>454</v>
      </c>
      <c r="N56" s="32" t="s">
        <v>455</v>
      </c>
      <c r="O56" s="32" t="s">
        <v>456</v>
      </c>
      <c r="P56" s="32" t="s">
        <v>457</v>
      </c>
    </row>
    <row r="57" spans="1:16">
      <c r="A57" s="3">
        <v>55</v>
      </c>
      <c r="B57" s="26">
        <v>327</v>
      </c>
      <c r="C57" s="21" t="s">
        <v>291</v>
      </c>
      <c r="D57" t="str">
        <f t="shared" si="0"/>
        <v>327中介系统排污泵</v>
      </c>
      <c r="F57" s="22" t="s">
        <v>444</v>
      </c>
      <c r="G57" s="14">
        <v>130</v>
      </c>
      <c r="J57" t="s">
        <v>458</v>
      </c>
      <c r="L57" s="17" t="s">
        <v>459</v>
      </c>
      <c r="M57" s="17" t="s">
        <v>460</v>
      </c>
      <c r="N57" s="17" t="s">
        <v>461</v>
      </c>
      <c r="O57" s="17" t="s">
        <v>462</v>
      </c>
      <c r="P57" s="17" t="s">
        <v>463</v>
      </c>
    </row>
    <row r="58" spans="1:16">
      <c r="A58" s="3">
        <v>56</v>
      </c>
      <c r="B58" s="26">
        <v>307</v>
      </c>
      <c r="C58" s="21" t="s">
        <v>299</v>
      </c>
      <c r="D58" t="str">
        <f t="shared" si="0"/>
        <v>307浅槽分选机</v>
      </c>
      <c r="F58" s="22" t="s">
        <v>444</v>
      </c>
      <c r="G58" s="14">
        <v>131</v>
      </c>
      <c r="J58" t="s">
        <v>464</v>
      </c>
      <c r="L58" s="17" t="s">
        <v>465</v>
      </c>
      <c r="M58" s="17" t="s">
        <v>466</v>
      </c>
      <c r="N58" s="17" t="s">
        <v>467</v>
      </c>
      <c r="O58" s="17" t="s">
        <v>468</v>
      </c>
      <c r="P58" s="17" t="s">
        <v>469</v>
      </c>
    </row>
    <row r="59" spans="1:16">
      <c r="A59" s="3">
        <v>57</v>
      </c>
      <c r="B59" s="26">
        <v>306</v>
      </c>
      <c r="C59" s="21" t="s">
        <v>307</v>
      </c>
      <c r="D59" t="str">
        <f t="shared" si="0"/>
        <v>306块煤脱泥筛</v>
      </c>
      <c r="F59" s="22" t="s">
        <v>444</v>
      </c>
      <c r="G59" s="14">
        <v>132</v>
      </c>
      <c r="J59" t="s">
        <v>470</v>
      </c>
      <c r="L59" s="17" t="s">
        <v>471</v>
      </c>
      <c r="M59" s="17" t="s">
        <v>472</v>
      </c>
      <c r="N59" s="17" t="s">
        <v>473</v>
      </c>
      <c r="O59" s="17" t="s">
        <v>474</v>
      </c>
      <c r="P59" s="17" t="s">
        <v>475</v>
      </c>
    </row>
    <row r="60" spans="1:16">
      <c r="A60" s="3">
        <v>58</v>
      </c>
      <c r="B60" s="26">
        <v>305</v>
      </c>
      <c r="C60" s="21" t="s">
        <v>307</v>
      </c>
      <c r="D60" t="str">
        <f t="shared" si="0"/>
        <v>305块煤脱泥筛</v>
      </c>
      <c r="F60" s="22" t="s">
        <v>476</v>
      </c>
      <c r="G60" s="14" t="s">
        <v>477</v>
      </c>
      <c r="J60" t="s">
        <v>478</v>
      </c>
      <c r="L60" s="17" t="s">
        <v>479</v>
      </c>
      <c r="M60" s="17" t="s">
        <v>480</v>
      </c>
      <c r="N60" s="17" t="s">
        <v>481</v>
      </c>
      <c r="O60" s="17" t="s">
        <v>482</v>
      </c>
      <c r="P60" s="17" t="s">
        <v>483</v>
      </c>
    </row>
    <row r="61" spans="1:16">
      <c r="A61" s="3">
        <v>59</v>
      </c>
      <c r="B61" s="26" t="s">
        <v>323</v>
      </c>
      <c r="C61" s="34" t="s">
        <v>322</v>
      </c>
      <c r="D61" t="str">
        <f t="shared" si="0"/>
        <v>323B加介泵</v>
      </c>
      <c r="F61" s="22" t="s">
        <v>484</v>
      </c>
      <c r="G61" s="14" t="s">
        <v>485</v>
      </c>
      <c r="J61" t="s">
        <v>486</v>
      </c>
      <c r="L61" s="35" t="s">
        <v>487</v>
      </c>
      <c r="M61" s="35" t="s">
        <v>488</v>
      </c>
      <c r="N61" s="35" t="s">
        <v>489</v>
      </c>
      <c r="O61" s="35" t="s">
        <v>490</v>
      </c>
      <c r="P61" s="35" t="s">
        <v>491</v>
      </c>
    </row>
    <row r="62" spans="1:16">
      <c r="A62" s="3">
        <v>60</v>
      </c>
      <c r="B62" s="26" t="s">
        <v>492</v>
      </c>
      <c r="C62" s="34" t="s">
        <v>322</v>
      </c>
      <c r="D62" t="str">
        <f t="shared" si="0"/>
        <v>323A加介泵</v>
      </c>
      <c r="F62" s="22" t="s">
        <v>493</v>
      </c>
      <c r="G62" s="14">
        <v>316</v>
      </c>
      <c r="J62" t="s">
        <v>494</v>
      </c>
      <c r="L62" s="35" t="s">
        <v>495</v>
      </c>
      <c r="M62" s="35" t="s">
        <v>496</v>
      </c>
      <c r="N62" s="35" t="s">
        <v>497</v>
      </c>
      <c r="O62" s="35" t="s">
        <v>498</v>
      </c>
      <c r="P62" s="35" t="s">
        <v>499</v>
      </c>
    </row>
    <row r="63" spans="1:16">
      <c r="A63" s="3">
        <v>61</v>
      </c>
      <c r="B63" s="3" t="s">
        <v>333</v>
      </c>
      <c r="C63" s="21" t="s">
        <v>332</v>
      </c>
      <c r="D63" t="str">
        <f t="shared" si="0"/>
        <v>SWQ2降尘射雾器</v>
      </c>
      <c r="F63" s="22" t="s">
        <v>500</v>
      </c>
      <c r="G63" s="14">
        <v>332</v>
      </c>
      <c r="J63" t="s">
        <v>501</v>
      </c>
      <c r="L63" s="37" t="s">
        <v>502</v>
      </c>
      <c r="M63" s="37" t="s">
        <v>503</v>
      </c>
      <c r="N63" s="37" t="s">
        <v>504</v>
      </c>
      <c r="O63" s="35" t="s">
        <v>505</v>
      </c>
      <c r="P63" s="35" t="s">
        <v>506</v>
      </c>
    </row>
    <row r="64" spans="1:16">
      <c r="A64" s="3">
        <v>62</v>
      </c>
      <c r="B64" s="3" t="s">
        <v>341</v>
      </c>
      <c r="C64" s="21" t="s">
        <v>332</v>
      </c>
      <c r="D64" t="str">
        <f t="shared" si="0"/>
        <v>SWQ1降尘射雾器</v>
      </c>
      <c r="F64" s="22" t="s">
        <v>507</v>
      </c>
      <c r="G64" s="14">
        <v>343</v>
      </c>
      <c r="J64" t="s">
        <v>508</v>
      </c>
      <c r="L64" s="35" t="s">
        <v>495</v>
      </c>
      <c r="M64" s="35" t="s">
        <v>509</v>
      </c>
      <c r="N64" s="35" t="s">
        <v>497</v>
      </c>
      <c r="O64" s="35" t="s">
        <v>510</v>
      </c>
      <c r="P64" s="35" t="s">
        <v>511</v>
      </c>
    </row>
    <row r="65" spans="1:16">
      <c r="A65" s="3">
        <v>63</v>
      </c>
      <c r="B65" s="3" t="s">
        <v>512</v>
      </c>
      <c r="C65" s="21" t="s">
        <v>331</v>
      </c>
      <c r="D65" t="str">
        <f t="shared" si="0"/>
        <v>310/A排料溜槽电液动闸门</v>
      </c>
      <c r="F65" s="22" t="s">
        <v>507</v>
      </c>
      <c r="G65" s="14">
        <v>342</v>
      </c>
      <c r="J65" t="s">
        <v>513</v>
      </c>
      <c r="L65" s="35" t="s">
        <v>514</v>
      </c>
      <c r="M65" s="35" t="s">
        <v>515</v>
      </c>
      <c r="N65" s="35" t="s">
        <v>516</v>
      </c>
      <c r="O65" s="35" t="s">
        <v>517</v>
      </c>
      <c r="P65" s="35" t="s">
        <v>518</v>
      </c>
    </row>
    <row r="66" spans="1:16">
      <c r="A66" s="3">
        <v>64</v>
      </c>
      <c r="B66" s="3" t="s">
        <v>519</v>
      </c>
      <c r="C66" s="21" t="s">
        <v>331</v>
      </c>
      <c r="D66" t="str">
        <f t="shared" si="0"/>
        <v>309/A排料溜槽电液动闸门</v>
      </c>
      <c r="F66" s="22" t="s">
        <v>520</v>
      </c>
      <c r="G66" s="14">
        <v>341</v>
      </c>
      <c r="J66" t="s">
        <v>521</v>
      </c>
      <c r="L66" s="35" t="s">
        <v>522</v>
      </c>
      <c r="M66" s="35" t="s">
        <v>523</v>
      </c>
      <c r="N66" s="35" t="s">
        <v>524</v>
      </c>
      <c r="O66" s="35" t="s">
        <v>525</v>
      </c>
      <c r="P66" s="35" t="s">
        <v>526</v>
      </c>
    </row>
    <row r="67" spans="1:16">
      <c r="A67" s="3">
        <v>65</v>
      </c>
      <c r="B67" s="26">
        <v>312</v>
      </c>
      <c r="C67" s="21" t="s">
        <v>348</v>
      </c>
      <c r="D67" t="str">
        <f t="shared" si="0"/>
        <v>312块矸石脱介筛</v>
      </c>
      <c r="F67" s="22" t="s">
        <v>76</v>
      </c>
      <c r="G67" s="14" t="s">
        <v>527</v>
      </c>
      <c r="J67" t="s">
        <v>528</v>
      </c>
      <c r="L67" s="17" t="s">
        <v>529</v>
      </c>
      <c r="M67" s="17" t="s">
        <v>530</v>
      </c>
      <c r="N67" s="17" t="s">
        <v>531</v>
      </c>
      <c r="O67" s="17" t="s">
        <v>532</v>
      </c>
      <c r="P67" s="17" t="s">
        <v>533</v>
      </c>
    </row>
    <row r="68" spans="1:16">
      <c r="A68" s="3">
        <v>66</v>
      </c>
      <c r="B68" s="26" t="s">
        <v>356</v>
      </c>
      <c r="C68" s="21" t="s">
        <v>355</v>
      </c>
      <c r="D68" t="str">
        <f t="shared" si="0"/>
        <v>308B块精煤脱介筛</v>
      </c>
      <c r="F68" s="22" t="s">
        <v>76</v>
      </c>
      <c r="G68" s="14" t="s">
        <v>534</v>
      </c>
      <c r="J68" t="s">
        <v>535</v>
      </c>
      <c r="L68" s="17"/>
      <c r="M68" s="17"/>
      <c r="N68" s="17"/>
      <c r="O68" s="35" t="s">
        <v>536</v>
      </c>
      <c r="P68" s="35" t="s">
        <v>537</v>
      </c>
    </row>
    <row r="69" spans="1:16">
      <c r="A69" s="3">
        <v>67</v>
      </c>
      <c r="B69" s="26" t="s">
        <v>363</v>
      </c>
      <c r="C69" s="21" t="s">
        <v>355</v>
      </c>
      <c r="D69" t="str">
        <f t="shared" si="0"/>
        <v>308A块精煤脱介筛</v>
      </c>
      <c r="F69" s="22" t="s">
        <v>538</v>
      </c>
      <c r="G69" s="14">
        <v>334</v>
      </c>
      <c r="J69" t="s">
        <v>539</v>
      </c>
      <c r="L69" s="17"/>
      <c r="M69" s="17"/>
      <c r="N69" s="17"/>
      <c r="O69" s="17"/>
      <c r="P69" s="17"/>
    </row>
    <row r="70" spans="1:16">
      <c r="A70" s="3">
        <v>68</v>
      </c>
      <c r="B70" s="26" t="s">
        <v>371</v>
      </c>
      <c r="C70" s="21" t="s">
        <v>370</v>
      </c>
      <c r="D70" t="str">
        <f t="shared" si="0"/>
        <v>902f带式给煤机风扇电机</v>
      </c>
      <c r="F70" s="22" t="s">
        <v>540</v>
      </c>
      <c r="G70" s="14" t="s">
        <v>541</v>
      </c>
      <c r="J70" t="s">
        <v>542</v>
      </c>
      <c r="L70" s="17" t="s">
        <v>543</v>
      </c>
      <c r="M70" s="17" t="s">
        <v>544</v>
      </c>
      <c r="N70" s="17" t="s">
        <v>545</v>
      </c>
      <c r="O70" s="17" t="s">
        <v>546</v>
      </c>
      <c r="P70" s="17" t="s">
        <v>547</v>
      </c>
    </row>
    <row r="71" spans="1:16">
      <c r="A71" s="3">
        <v>69</v>
      </c>
      <c r="B71" s="26" t="s">
        <v>378</v>
      </c>
      <c r="C71" s="21" t="s">
        <v>370</v>
      </c>
      <c r="D71" t="str">
        <f t="shared" si="0"/>
        <v>903f带式给煤机风扇电机</v>
      </c>
      <c r="F71" s="22" t="s">
        <v>548</v>
      </c>
      <c r="G71" s="14">
        <v>336</v>
      </c>
      <c r="J71" t="s">
        <v>549</v>
      </c>
      <c r="L71" s="17" t="s">
        <v>550</v>
      </c>
      <c r="M71" s="17" t="s">
        <v>551</v>
      </c>
      <c r="N71" s="17" t="s">
        <v>552</v>
      </c>
      <c r="O71" s="17" t="s">
        <v>553</v>
      </c>
      <c r="P71" s="17" t="s">
        <v>554</v>
      </c>
    </row>
    <row r="72" spans="1:16">
      <c r="A72" s="3">
        <v>70</v>
      </c>
      <c r="B72" s="26" t="s">
        <v>387</v>
      </c>
      <c r="C72" s="21" t="s">
        <v>370</v>
      </c>
      <c r="D72" t="str">
        <f t="shared" si="0"/>
        <v>127f带式给煤机风扇电机</v>
      </c>
      <c r="F72" s="39" t="s">
        <v>555</v>
      </c>
      <c r="G72" s="40" t="s">
        <v>556</v>
      </c>
      <c r="J72" t="s">
        <v>557</v>
      </c>
      <c r="L72" s="17" t="s">
        <v>558</v>
      </c>
      <c r="M72" s="17" t="s">
        <v>559</v>
      </c>
      <c r="N72" s="17" t="s">
        <v>560</v>
      </c>
      <c r="O72" s="17" t="s">
        <v>561</v>
      </c>
      <c r="P72" s="17" t="s">
        <v>562</v>
      </c>
    </row>
    <row r="73" spans="1:16">
      <c r="A73" s="3">
        <v>71</v>
      </c>
      <c r="B73" s="26" t="s">
        <v>390</v>
      </c>
      <c r="C73" s="21" t="s">
        <v>370</v>
      </c>
      <c r="D73" t="str">
        <f t="shared" si="0"/>
        <v>128f带式给煤机风扇电机</v>
      </c>
      <c r="F73" s="22" t="s">
        <v>563</v>
      </c>
      <c r="G73" s="14" t="s">
        <v>564</v>
      </c>
      <c r="J73" t="s">
        <v>565</v>
      </c>
      <c r="L73" s="17" t="s">
        <v>566</v>
      </c>
      <c r="M73" s="17" t="s">
        <v>567</v>
      </c>
      <c r="N73" s="17" t="s">
        <v>568</v>
      </c>
      <c r="O73" s="17" t="s">
        <v>569</v>
      </c>
      <c r="P73" s="17" t="s">
        <v>570</v>
      </c>
    </row>
    <row r="74" spans="1:16">
      <c r="A74" s="3">
        <v>72</v>
      </c>
      <c r="B74" s="26" t="s">
        <v>392</v>
      </c>
      <c r="C74" s="21" t="s">
        <v>370</v>
      </c>
      <c r="D74" t="str">
        <f t="shared" si="0"/>
        <v>129f带式给煤机风扇电机</v>
      </c>
      <c r="F74" s="22" t="s">
        <v>571</v>
      </c>
      <c r="G74" s="14">
        <v>352</v>
      </c>
      <c r="J74" t="s">
        <v>572</v>
      </c>
      <c r="L74" s="17" t="s">
        <v>573</v>
      </c>
      <c r="M74" s="17" t="s">
        <v>574</v>
      </c>
      <c r="N74" s="17" t="s">
        <v>575</v>
      </c>
      <c r="O74" s="17" t="s">
        <v>576</v>
      </c>
      <c r="P74" s="17" t="s">
        <v>577</v>
      </c>
    </row>
    <row r="75" spans="1:16">
      <c r="A75" s="3">
        <v>73</v>
      </c>
      <c r="B75" s="26" t="s">
        <v>399</v>
      </c>
      <c r="C75" s="21" t="s">
        <v>370</v>
      </c>
      <c r="D75" t="str">
        <f t="shared" si="0"/>
        <v>130f带式给煤机风扇电机</v>
      </c>
      <c r="F75" s="22" t="s">
        <v>578</v>
      </c>
      <c r="G75" s="14" t="s">
        <v>579</v>
      </c>
      <c r="J75" t="s">
        <v>580</v>
      </c>
      <c r="L75" s="17" t="s">
        <v>581</v>
      </c>
      <c r="M75" s="17" t="s">
        <v>582</v>
      </c>
      <c r="N75" s="17" t="s">
        <v>583</v>
      </c>
      <c r="O75" s="17" t="s">
        <v>584</v>
      </c>
      <c r="P75" s="17" t="s">
        <v>585</v>
      </c>
    </row>
    <row r="76" spans="1:16">
      <c r="A76" s="3">
        <v>74</v>
      </c>
      <c r="B76" s="26" t="s">
        <v>406</v>
      </c>
      <c r="C76" s="21" t="s">
        <v>370</v>
      </c>
      <c r="D76" t="str">
        <f t="shared" si="0"/>
        <v>131f带式给煤机风扇电机</v>
      </c>
      <c r="F76" s="22" t="s">
        <v>586</v>
      </c>
      <c r="G76" s="14">
        <v>354</v>
      </c>
      <c r="J76" t="s">
        <v>587</v>
      </c>
      <c r="L76" s="17" t="s">
        <v>588</v>
      </c>
      <c r="M76" s="17" t="s">
        <v>589</v>
      </c>
      <c r="N76" s="17" t="s">
        <v>590</v>
      </c>
      <c r="O76" s="17" t="s">
        <v>591</v>
      </c>
      <c r="P76" s="17" t="s">
        <v>592</v>
      </c>
    </row>
    <row r="77" spans="1:16">
      <c r="A77" s="3">
        <v>75</v>
      </c>
      <c r="B77" s="26" t="s">
        <v>414</v>
      </c>
      <c r="C77" s="21" t="s">
        <v>370</v>
      </c>
      <c r="D77" t="str">
        <f t="shared" si="0"/>
        <v>132f带式给煤机风扇电机</v>
      </c>
      <c r="F77" s="22" t="s">
        <v>593</v>
      </c>
      <c r="G77" s="14" t="s">
        <v>594</v>
      </c>
      <c r="J77" t="s">
        <v>595</v>
      </c>
      <c r="L77" s="17" t="s">
        <v>596</v>
      </c>
      <c r="M77" s="17" t="s">
        <v>597</v>
      </c>
      <c r="N77" s="17" t="s">
        <v>598</v>
      </c>
      <c r="O77" s="17" t="s">
        <v>599</v>
      </c>
      <c r="P77" s="17" t="s">
        <v>600</v>
      </c>
    </row>
    <row r="78" spans="1:16">
      <c r="A78" s="3">
        <v>76</v>
      </c>
      <c r="B78" s="3">
        <v>902</v>
      </c>
      <c r="C78" s="21" t="s">
        <v>421</v>
      </c>
      <c r="D78" t="str">
        <f t="shared" si="0"/>
        <v>902矸石仓下带式给煤机</v>
      </c>
      <c r="F78" s="22" t="s">
        <v>593</v>
      </c>
      <c r="G78" s="14" t="s">
        <v>601</v>
      </c>
      <c r="J78" t="s">
        <v>602</v>
      </c>
      <c r="L78" s="17" t="s">
        <v>603</v>
      </c>
      <c r="M78" s="17" t="s">
        <v>603</v>
      </c>
      <c r="N78" s="17" t="s">
        <v>604</v>
      </c>
      <c r="O78" s="17" t="s">
        <v>605</v>
      </c>
      <c r="P78" s="17" t="s">
        <v>606</v>
      </c>
    </row>
    <row r="79" spans="1:16">
      <c r="A79" s="3">
        <v>77</v>
      </c>
      <c r="B79" s="3">
        <v>903</v>
      </c>
      <c r="C79" s="21" t="s">
        <v>428</v>
      </c>
      <c r="D79" t="str">
        <f t="shared" si="0"/>
        <v>903矸石仓带式给煤机</v>
      </c>
      <c r="F79" s="22" t="s">
        <v>607</v>
      </c>
      <c r="G79" s="14">
        <v>328</v>
      </c>
      <c r="J79" t="s">
        <v>608</v>
      </c>
      <c r="L79" s="17" t="s">
        <v>609</v>
      </c>
      <c r="M79" s="17" t="s">
        <v>610</v>
      </c>
      <c r="N79" s="17" t="s">
        <v>611</v>
      </c>
      <c r="O79" s="17" t="s">
        <v>612</v>
      </c>
      <c r="P79" s="17" t="s">
        <v>613</v>
      </c>
    </row>
    <row r="80" spans="1:16">
      <c r="A80" s="3">
        <v>78</v>
      </c>
      <c r="B80" s="3">
        <v>127</v>
      </c>
      <c r="C80" s="21" t="s">
        <v>436</v>
      </c>
      <c r="D80" t="str">
        <f t="shared" si="0"/>
        <v>127原煤缓冲仓下带式给煤机</v>
      </c>
      <c r="F80" s="22" t="s">
        <v>614</v>
      </c>
      <c r="G80" s="14">
        <v>356</v>
      </c>
      <c r="J80" t="s">
        <v>615</v>
      </c>
      <c r="L80" s="17" t="s">
        <v>609</v>
      </c>
      <c r="M80" s="17" t="s">
        <v>616</v>
      </c>
      <c r="N80" s="17" t="s">
        <v>611</v>
      </c>
      <c r="O80" s="17" t="s">
        <v>617</v>
      </c>
      <c r="P80" s="17" t="s">
        <v>618</v>
      </c>
    </row>
    <row r="81" spans="1:16">
      <c r="A81" s="3">
        <v>79</v>
      </c>
      <c r="B81" s="3">
        <v>128</v>
      </c>
      <c r="C81" s="21" t="s">
        <v>444</v>
      </c>
      <c r="D81" t="str">
        <f t="shared" si="0"/>
        <v>128原煤储煤场下带式给煤机</v>
      </c>
      <c r="F81" s="22" t="s">
        <v>619</v>
      </c>
      <c r="G81" s="14">
        <v>403</v>
      </c>
      <c r="J81" t="s">
        <v>620</v>
      </c>
      <c r="L81" s="17" t="s">
        <v>621</v>
      </c>
      <c r="M81" s="17" t="s">
        <v>622</v>
      </c>
      <c r="N81" s="17" t="s">
        <v>623</v>
      </c>
      <c r="O81" s="17" t="s">
        <v>624</v>
      </c>
      <c r="P81" s="17" t="s">
        <v>625</v>
      </c>
    </row>
    <row r="82" spans="1:16">
      <c r="A82" s="3">
        <v>80</v>
      </c>
      <c r="B82" s="3">
        <v>129</v>
      </c>
      <c r="C82" s="21" t="s">
        <v>444</v>
      </c>
      <c r="D82" t="str">
        <f t="shared" si="0"/>
        <v>129原煤储煤场下带式给煤机</v>
      </c>
      <c r="F82" s="22" t="s">
        <v>619</v>
      </c>
      <c r="G82" s="14">
        <v>402</v>
      </c>
      <c r="J82" t="s">
        <v>626</v>
      </c>
      <c r="L82" s="17" t="s">
        <v>627</v>
      </c>
      <c r="M82" s="17" t="s">
        <v>628</v>
      </c>
      <c r="N82" s="17" t="s">
        <v>629</v>
      </c>
      <c r="O82" s="17" t="s">
        <v>630</v>
      </c>
      <c r="P82" s="17" t="s">
        <v>631</v>
      </c>
    </row>
    <row r="83" spans="1:16">
      <c r="A83" s="3">
        <v>81</v>
      </c>
      <c r="B83" s="3">
        <v>130</v>
      </c>
      <c r="C83" s="21" t="s">
        <v>444</v>
      </c>
      <c r="D83" t="str">
        <f t="shared" si="0"/>
        <v>130原煤储煤场下带式给煤机</v>
      </c>
      <c r="F83" s="22" t="s">
        <v>632</v>
      </c>
      <c r="G83" s="14">
        <v>405</v>
      </c>
      <c r="J83" t="s">
        <v>633</v>
      </c>
      <c r="L83" s="17" t="s">
        <v>634</v>
      </c>
      <c r="M83" s="17" t="s">
        <v>635</v>
      </c>
      <c r="N83" s="17" t="s">
        <v>636</v>
      </c>
      <c r="O83" s="17" t="s">
        <v>637</v>
      </c>
      <c r="P83" s="17" t="s">
        <v>638</v>
      </c>
    </row>
    <row r="84" spans="1:16">
      <c r="A84" s="3">
        <v>82</v>
      </c>
      <c r="B84" s="3">
        <v>131</v>
      </c>
      <c r="C84" s="21" t="s">
        <v>444</v>
      </c>
      <c r="D84" t="str">
        <f t="shared" si="0"/>
        <v>131原煤储煤场下带式给煤机</v>
      </c>
      <c r="F84" s="22" t="s">
        <v>639</v>
      </c>
      <c r="G84" s="14" t="s">
        <v>640</v>
      </c>
      <c r="J84" t="s">
        <v>641</v>
      </c>
      <c r="L84" s="17" t="s">
        <v>642</v>
      </c>
      <c r="M84" s="17" t="s">
        <v>643</v>
      </c>
      <c r="N84" s="17" t="s">
        <v>644</v>
      </c>
      <c r="O84" s="17" t="s">
        <v>645</v>
      </c>
      <c r="P84" s="17" t="s">
        <v>646</v>
      </c>
    </row>
    <row r="85" spans="1:16">
      <c r="A85" s="3">
        <v>83</v>
      </c>
      <c r="B85" s="3">
        <v>132</v>
      </c>
      <c r="C85" s="21" t="s">
        <v>444</v>
      </c>
      <c r="D85" t="str">
        <f t="shared" si="0"/>
        <v>132原煤储煤场下带式给煤机</v>
      </c>
      <c r="F85" s="22" t="s">
        <v>647</v>
      </c>
      <c r="G85" s="14" t="s">
        <v>648</v>
      </c>
      <c r="J85" t="s">
        <v>649</v>
      </c>
      <c r="L85" s="17" t="s">
        <v>650</v>
      </c>
      <c r="M85" s="17" t="s">
        <v>651</v>
      </c>
      <c r="N85" s="17" t="s">
        <v>652</v>
      </c>
      <c r="O85" s="17" t="s">
        <v>653</v>
      </c>
      <c r="P85" s="17" t="s">
        <v>654</v>
      </c>
    </row>
    <row r="86" spans="1:16">
      <c r="A86" s="3">
        <v>84</v>
      </c>
      <c r="B86" s="26" t="s">
        <v>477</v>
      </c>
      <c r="C86" s="34" t="s">
        <v>476</v>
      </c>
      <c r="D86" t="str">
        <f t="shared" ref="D86:D114" si="1">B86&amp;C86</f>
        <v>316f块煤磁尾泵风扇电机</v>
      </c>
      <c r="F86" s="22" t="s">
        <v>655</v>
      </c>
      <c r="G86" s="14" t="s">
        <v>656</v>
      </c>
      <c r="J86" t="s">
        <v>657</v>
      </c>
      <c r="L86" s="17" t="s">
        <v>658</v>
      </c>
      <c r="M86" s="17" t="s">
        <v>659</v>
      </c>
      <c r="N86" s="17" t="s">
        <v>660</v>
      </c>
      <c r="O86" s="17" t="s">
        <v>661</v>
      </c>
      <c r="P86" s="17" t="s">
        <v>662</v>
      </c>
    </row>
    <row r="87" spans="1:16">
      <c r="A87" s="3">
        <v>85</v>
      </c>
      <c r="B87" s="3" t="s">
        <v>485</v>
      </c>
      <c r="C87" s="41" t="s">
        <v>484</v>
      </c>
      <c r="D87" t="str">
        <f t="shared" si="1"/>
        <v>332f分级旋流器入料泵风扇电机</v>
      </c>
      <c r="F87" s="22" t="s">
        <v>663</v>
      </c>
      <c r="G87" s="14" t="s">
        <v>664</v>
      </c>
      <c r="J87" t="s">
        <v>665</v>
      </c>
      <c r="L87" s="17" t="s">
        <v>666</v>
      </c>
      <c r="M87" s="17" t="s">
        <v>667</v>
      </c>
      <c r="N87" s="17" t="s">
        <v>668</v>
      </c>
      <c r="O87" s="17" t="s">
        <v>669</v>
      </c>
      <c r="P87" s="17" t="s">
        <v>670</v>
      </c>
    </row>
    <row r="88" spans="1:16">
      <c r="A88" s="3">
        <v>86</v>
      </c>
      <c r="B88" s="3" t="s">
        <v>671</v>
      </c>
      <c r="C88" s="21" t="s">
        <v>672</v>
      </c>
      <c r="D88" t="str">
        <f t="shared" si="1"/>
        <v>363B高压风机</v>
      </c>
      <c r="F88" s="22" t="s">
        <v>663</v>
      </c>
      <c r="G88" s="14" t="s">
        <v>673</v>
      </c>
      <c r="J88" t="s">
        <v>674</v>
      </c>
      <c r="L88" s="17" t="s">
        <v>675</v>
      </c>
      <c r="M88" s="17"/>
      <c r="N88" s="17" t="s">
        <v>676</v>
      </c>
      <c r="O88" s="17" t="s">
        <v>677</v>
      </c>
      <c r="P88" s="17" t="s">
        <v>678</v>
      </c>
    </row>
    <row r="89" spans="1:16">
      <c r="A89" s="3">
        <v>87</v>
      </c>
      <c r="B89" s="3" t="s">
        <v>679</v>
      </c>
      <c r="C89" s="21" t="s">
        <v>672</v>
      </c>
      <c r="D89" t="str">
        <f t="shared" si="1"/>
        <v>363A高压风机</v>
      </c>
      <c r="F89" s="22" t="s">
        <v>680</v>
      </c>
      <c r="G89" s="14" t="s">
        <v>681</v>
      </c>
      <c r="J89" t="s">
        <v>682</v>
      </c>
      <c r="L89" s="17" t="s">
        <v>683</v>
      </c>
      <c r="M89" s="17" t="s">
        <v>684</v>
      </c>
      <c r="N89" s="17" t="s">
        <v>685</v>
      </c>
      <c r="O89" s="17" t="s">
        <v>686</v>
      </c>
      <c r="P89" s="17" t="s">
        <v>687</v>
      </c>
    </row>
    <row r="90" spans="1:16">
      <c r="A90" s="3">
        <v>88</v>
      </c>
      <c r="B90" s="3">
        <v>361</v>
      </c>
      <c r="C90" s="21" t="s">
        <v>688</v>
      </c>
      <c r="D90" t="str">
        <f t="shared" si="1"/>
        <v>361低压风机</v>
      </c>
      <c r="F90" s="22" t="s">
        <v>689</v>
      </c>
      <c r="G90" s="14" t="s">
        <v>690</v>
      </c>
      <c r="J90" t="s">
        <v>691</v>
      </c>
      <c r="L90" s="17" t="s">
        <v>692</v>
      </c>
      <c r="M90" s="17" t="s">
        <v>693</v>
      </c>
      <c r="N90" s="17" t="s">
        <v>694</v>
      </c>
      <c r="O90" s="17" t="s">
        <v>695</v>
      </c>
      <c r="P90" s="17" t="s">
        <v>696</v>
      </c>
    </row>
    <row r="91" spans="1:16">
      <c r="A91" s="3">
        <v>89</v>
      </c>
      <c r="B91" s="3">
        <v>316</v>
      </c>
      <c r="C91" s="21" t="s">
        <v>493</v>
      </c>
      <c r="D91" t="str">
        <f t="shared" si="1"/>
        <v>316块煤磁尾泵</v>
      </c>
      <c r="F91" s="22" t="s">
        <v>697</v>
      </c>
      <c r="G91" s="14" t="s">
        <v>698</v>
      </c>
      <c r="J91" t="s">
        <v>699</v>
      </c>
      <c r="L91" s="17" t="s">
        <v>700</v>
      </c>
      <c r="M91" s="17" t="s">
        <v>701</v>
      </c>
      <c r="N91" s="17" t="s">
        <v>702</v>
      </c>
      <c r="O91" s="17" t="s">
        <v>703</v>
      </c>
      <c r="P91" s="17" t="s">
        <v>704</v>
      </c>
    </row>
    <row r="92" spans="1:16">
      <c r="A92" s="3">
        <v>90</v>
      </c>
      <c r="B92" s="3">
        <v>332</v>
      </c>
      <c r="C92" s="21" t="s">
        <v>500</v>
      </c>
      <c r="D92" t="str">
        <f t="shared" si="1"/>
        <v>332分级旋流器入料泵</v>
      </c>
      <c r="F92" s="22" t="s">
        <v>689</v>
      </c>
      <c r="G92" s="14" t="s">
        <v>705</v>
      </c>
      <c r="J92" t="s">
        <v>706</v>
      </c>
      <c r="L92" s="17" t="s">
        <v>707</v>
      </c>
      <c r="M92" s="17" t="s">
        <v>708</v>
      </c>
      <c r="N92" s="17" t="s">
        <v>709</v>
      </c>
      <c r="O92" s="17" t="s">
        <v>710</v>
      </c>
      <c r="P92" s="17" t="s">
        <v>711</v>
      </c>
    </row>
    <row r="93" spans="1:16">
      <c r="A93" s="3">
        <v>91</v>
      </c>
      <c r="B93" s="3">
        <v>713</v>
      </c>
      <c r="C93" s="21" t="s">
        <v>712</v>
      </c>
      <c r="D93" t="str">
        <f t="shared" si="1"/>
        <v>713混煤配仓刮板输送机</v>
      </c>
      <c r="F93" s="22" t="s">
        <v>689</v>
      </c>
      <c r="G93" s="14" t="s">
        <v>713</v>
      </c>
      <c r="J93" t="s">
        <v>714</v>
      </c>
      <c r="L93" s="17" t="s">
        <v>715</v>
      </c>
      <c r="M93" s="17" t="s">
        <v>716</v>
      </c>
      <c r="N93" s="17" t="s">
        <v>717</v>
      </c>
      <c r="O93" s="17" t="s">
        <v>718</v>
      </c>
      <c r="P93" s="17" t="s">
        <v>719</v>
      </c>
    </row>
    <row r="94" spans="1:16">
      <c r="A94" s="3">
        <v>92</v>
      </c>
      <c r="B94" s="3">
        <v>712</v>
      </c>
      <c r="C94" s="21" t="s">
        <v>712</v>
      </c>
      <c r="D94" t="str">
        <f t="shared" si="1"/>
        <v>712混煤配仓刮板输送机</v>
      </c>
      <c r="F94" s="22" t="s">
        <v>720</v>
      </c>
      <c r="G94" s="14">
        <v>338</v>
      </c>
      <c r="J94" t="s">
        <v>721</v>
      </c>
      <c r="L94" s="17" t="s">
        <v>722</v>
      </c>
      <c r="M94" s="17" t="s">
        <v>723</v>
      </c>
      <c r="N94" s="17" t="s">
        <v>724</v>
      </c>
      <c r="O94" s="17" t="s">
        <v>725</v>
      </c>
      <c r="P94" s="17" t="s">
        <v>726</v>
      </c>
    </row>
    <row r="95" spans="1:16">
      <c r="A95" s="3">
        <v>93</v>
      </c>
      <c r="B95" s="3">
        <v>343</v>
      </c>
      <c r="C95" s="21" t="s">
        <v>507</v>
      </c>
      <c r="D95" t="str">
        <f t="shared" si="1"/>
        <v>343压滤机入料泵</v>
      </c>
      <c r="F95" s="22" t="s">
        <v>727</v>
      </c>
      <c r="G95" s="14" t="s">
        <v>728</v>
      </c>
      <c r="J95" t="s">
        <v>729</v>
      </c>
      <c r="L95" s="17" t="s">
        <v>730</v>
      </c>
      <c r="M95" s="17" t="s">
        <v>731</v>
      </c>
      <c r="N95" s="17" t="s">
        <v>732</v>
      </c>
      <c r="O95" s="17" t="s">
        <v>733</v>
      </c>
      <c r="P95" s="17" t="s">
        <v>734</v>
      </c>
    </row>
    <row r="96" spans="1:16">
      <c r="A96" s="3">
        <v>94</v>
      </c>
      <c r="B96" s="3">
        <v>342</v>
      </c>
      <c r="C96" s="21" t="s">
        <v>507</v>
      </c>
      <c r="D96" t="str">
        <f t="shared" si="1"/>
        <v>342压滤机入料泵</v>
      </c>
      <c r="F96" s="22" t="s">
        <v>727</v>
      </c>
      <c r="G96" s="14" t="s">
        <v>735</v>
      </c>
      <c r="J96" t="s">
        <v>736</v>
      </c>
      <c r="L96" s="17" t="s">
        <v>737</v>
      </c>
      <c r="M96" s="17" t="s">
        <v>738</v>
      </c>
      <c r="N96" s="17" t="s">
        <v>739</v>
      </c>
      <c r="O96" s="17" t="s">
        <v>740</v>
      </c>
      <c r="P96" s="17" t="s">
        <v>741</v>
      </c>
    </row>
    <row r="97" spans="1:16">
      <c r="A97" s="3">
        <v>95</v>
      </c>
      <c r="B97" s="3">
        <v>702</v>
      </c>
      <c r="C97" s="21" t="s">
        <v>742</v>
      </c>
      <c r="D97" t="str">
        <f t="shared" si="1"/>
        <v>702主厂房至产品仓精煤带式输送机</v>
      </c>
      <c r="F97" s="22" t="s">
        <v>743</v>
      </c>
      <c r="G97" s="14" t="s">
        <v>744</v>
      </c>
      <c r="J97" t="s">
        <v>745</v>
      </c>
      <c r="L97" s="17" t="s">
        <v>746</v>
      </c>
      <c r="M97" s="17" t="s">
        <v>747</v>
      </c>
      <c r="N97" s="17" t="s">
        <v>748</v>
      </c>
      <c r="O97" s="17" t="s">
        <v>749</v>
      </c>
      <c r="P97" s="17" t="s">
        <v>750</v>
      </c>
    </row>
    <row r="98" spans="1:16">
      <c r="A98" s="3">
        <v>96</v>
      </c>
      <c r="B98" s="3">
        <v>701</v>
      </c>
      <c r="C98" s="21" t="s">
        <v>751</v>
      </c>
      <c r="D98" t="str">
        <f t="shared" si="1"/>
        <v>701主厂房至产品仓混煤带式输送机</v>
      </c>
      <c r="F98" s="22" t="s">
        <v>743</v>
      </c>
      <c r="G98" s="14" t="s">
        <v>752</v>
      </c>
      <c r="J98" t="s">
        <v>753</v>
      </c>
      <c r="L98" s="17" t="s">
        <v>754</v>
      </c>
      <c r="M98" s="17" t="s">
        <v>755</v>
      </c>
      <c r="N98" s="17" t="s">
        <v>756</v>
      </c>
      <c r="O98" s="17" t="s">
        <v>757</v>
      </c>
      <c r="P98" s="17" t="s">
        <v>758</v>
      </c>
    </row>
    <row r="99" spans="1:16">
      <c r="A99" s="3">
        <v>97</v>
      </c>
      <c r="B99" s="26">
        <v>341</v>
      </c>
      <c r="C99" s="34" t="s">
        <v>520</v>
      </c>
      <c r="D99" t="str">
        <f t="shared" si="1"/>
        <v>341压滤机入料桶搅拌电机</v>
      </c>
      <c r="F99" s="22" t="s">
        <v>743</v>
      </c>
      <c r="G99" s="14" t="s">
        <v>759</v>
      </c>
      <c r="J99" t="s">
        <v>760</v>
      </c>
      <c r="L99" s="17" t="s">
        <v>761</v>
      </c>
      <c r="M99" s="17" t="s">
        <v>762</v>
      </c>
      <c r="N99" s="17" t="s">
        <v>763</v>
      </c>
      <c r="O99" s="17" t="s">
        <v>764</v>
      </c>
      <c r="P99" s="17" t="s">
        <v>765</v>
      </c>
    </row>
    <row r="100" spans="1:16">
      <c r="A100" s="3">
        <v>98</v>
      </c>
      <c r="B100" s="3">
        <v>348</v>
      </c>
      <c r="C100" s="21" t="s">
        <v>766</v>
      </c>
      <c r="D100" t="str">
        <f t="shared" si="1"/>
        <v>348中高压压滤机</v>
      </c>
      <c r="F100" s="22" t="s">
        <v>743</v>
      </c>
      <c r="G100" s="14" t="s">
        <v>767</v>
      </c>
      <c r="J100" t="s">
        <v>768</v>
      </c>
      <c r="L100" s="17" t="s">
        <v>769</v>
      </c>
      <c r="M100" s="17" t="s">
        <v>770</v>
      </c>
      <c r="N100" s="17" t="s">
        <v>771</v>
      </c>
      <c r="O100" s="17" t="s">
        <v>772</v>
      </c>
      <c r="P100" s="17" t="s">
        <v>773</v>
      </c>
    </row>
    <row r="101" spans="1:16">
      <c r="A101" s="3">
        <v>99</v>
      </c>
      <c r="B101" s="3">
        <v>347</v>
      </c>
      <c r="C101" s="21" t="s">
        <v>766</v>
      </c>
      <c r="D101" t="str">
        <f t="shared" si="1"/>
        <v>347中高压压滤机</v>
      </c>
      <c r="F101" s="22" t="s">
        <v>774</v>
      </c>
      <c r="G101" s="14">
        <v>743</v>
      </c>
      <c r="J101" t="s">
        <v>775</v>
      </c>
      <c r="L101" s="17" t="s">
        <v>776</v>
      </c>
      <c r="M101" s="17" t="s">
        <v>777</v>
      </c>
      <c r="N101" s="17" t="s">
        <v>778</v>
      </c>
      <c r="O101" s="17" t="s">
        <v>779</v>
      </c>
      <c r="P101" s="17" t="s">
        <v>780</v>
      </c>
    </row>
    <row r="102" spans="1:16">
      <c r="A102" s="3">
        <v>100</v>
      </c>
      <c r="B102" s="26">
        <v>351</v>
      </c>
      <c r="C102" s="34" t="s">
        <v>781</v>
      </c>
      <c r="D102" t="str">
        <f t="shared" si="1"/>
        <v>351煤泥转载刮板输送机</v>
      </c>
      <c r="F102" s="22" t="s">
        <v>782</v>
      </c>
      <c r="G102" s="14">
        <v>744</v>
      </c>
      <c r="J102" t="s">
        <v>783</v>
      </c>
      <c r="L102" s="17" t="s">
        <v>784</v>
      </c>
      <c r="M102" s="17" t="s">
        <v>785</v>
      </c>
      <c r="N102" s="17" t="s">
        <v>786</v>
      </c>
      <c r="O102" s="17" t="s">
        <v>787</v>
      </c>
      <c r="P102" s="17" t="s">
        <v>788</v>
      </c>
    </row>
    <row r="103" spans="1:16">
      <c r="A103" s="3">
        <v>101</v>
      </c>
      <c r="B103" s="26">
        <v>350</v>
      </c>
      <c r="C103" s="34" t="s">
        <v>789</v>
      </c>
      <c r="D103" t="str">
        <f t="shared" si="1"/>
        <v>350煤泥收集刮板输送机</v>
      </c>
      <c r="F103" s="22" t="s">
        <v>370</v>
      </c>
      <c r="G103" s="14" t="s">
        <v>790</v>
      </c>
      <c r="J103" t="s">
        <v>791</v>
      </c>
      <c r="L103" s="17" t="s">
        <v>792</v>
      </c>
      <c r="M103" s="17" t="s">
        <v>793</v>
      </c>
      <c r="N103" s="17" t="s">
        <v>794</v>
      </c>
      <c r="O103" s="17" t="s">
        <v>795</v>
      </c>
      <c r="P103" s="17" t="s">
        <v>796</v>
      </c>
    </row>
    <row r="104" spans="1:16">
      <c r="A104" s="3">
        <v>102</v>
      </c>
      <c r="B104" s="26">
        <v>349</v>
      </c>
      <c r="C104" s="34" t="s">
        <v>789</v>
      </c>
      <c r="D104" t="str">
        <f t="shared" si="1"/>
        <v>349煤泥收集刮板输送机</v>
      </c>
      <c r="F104" s="22" t="s">
        <v>370</v>
      </c>
      <c r="G104" s="14" t="s">
        <v>797</v>
      </c>
      <c r="J104" t="s">
        <v>798</v>
      </c>
      <c r="L104" s="17" t="s">
        <v>799</v>
      </c>
      <c r="M104" s="17" t="s">
        <v>800</v>
      </c>
      <c r="N104" s="17" t="s">
        <v>801</v>
      </c>
      <c r="O104" s="17" t="s">
        <v>802</v>
      </c>
      <c r="P104" s="17" t="s">
        <v>803</v>
      </c>
    </row>
    <row r="105" spans="1:16">
      <c r="A105" s="3">
        <v>103</v>
      </c>
      <c r="B105" s="3" t="s">
        <v>527</v>
      </c>
      <c r="C105" s="21" t="s">
        <v>76</v>
      </c>
      <c r="D105" t="str">
        <f t="shared" si="1"/>
        <v>702L带式输送机液压拉紧装置</v>
      </c>
      <c r="F105" s="22" t="s">
        <v>370</v>
      </c>
      <c r="G105" s="14" t="s">
        <v>804</v>
      </c>
      <c r="J105" t="s">
        <v>805</v>
      </c>
      <c r="L105" s="17" t="s">
        <v>806</v>
      </c>
      <c r="M105" s="17" t="s">
        <v>807</v>
      </c>
      <c r="N105" s="17" t="s">
        <v>808</v>
      </c>
      <c r="O105" s="17" t="s">
        <v>809</v>
      </c>
      <c r="P105" s="17" t="s">
        <v>810</v>
      </c>
    </row>
    <row r="106" spans="1:16">
      <c r="A106" s="3">
        <v>104</v>
      </c>
      <c r="B106" s="3" t="s">
        <v>534</v>
      </c>
      <c r="C106" s="21" t="s">
        <v>76</v>
      </c>
      <c r="D106" t="str">
        <f t="shared" si="1"/>
        <v>701L带式输送机液压拉紧装置</v>
      </c>
      <c r="F106" s="22" t="s">
        <v>370</v>
      </c>
      <c r="G106" s="14" t="s">
        <v>811</v>
      </c>
      <c r="J106" t="s">
        <v>812</v>
      </c>
      <c r="L106" s="17" t="s">
        <v>813</v>
      </c>
      <c r="M106" s="17" t="s">
        <v>814</v>
      </c>
      <c r="N106" s="17" t="s">
        <v>815</v>
      </c>
      <c r="O106" s="17" t="s">
        <v>816</v>
      </c>
      <c r="P106" s="17" t="s">
        <v>817</v>
      </c>
    </row>
    <row r="107" spans="1:16">
      <c r="A107" s="3">
        <v>105</v>
      </c>
      <c r="B107" s="3">
        <v>334</v>
      </c>
      <c r="C107" s="21" t="s">
        <v>538</v>
      </c>
      <c r="D107" t="str">
        <f t="shared" si="1"/>
        <v>334高频叠层筛</v>
      </c>
      <c r="F107" s="22" t="s">
        <v>370</v>
      </c>
      <c r="G107" s="14" t="s">
        <v>818</v>
      </c>
      <c r="J107" t="s">
        <v>819</v>
      </c>
      <c r="L107" s="17" t="s">
        <v>820</v>
      </c>
      <c r="M107" s="17" t="s">
        <v>821</v>
      </c>
      <c r="N107" s="17" t="s">
        <v>822</v>
      </c>
      <c r="O107" s="17" t="s">
        <v>823</v>
      </c>
      <c r="P107" s="17" t="s">
        <v>824</v>
      </c>
    </row>
    <row r="108" spans="1:16">
      <c r="A108" s="3">
        <v>106</v>
      </c>
      <c r="B108" s="3">
        <v>741</v>
      </c>
      <c r="C108" s="21" t="s">
        <v>825</v>
      </c>
      <c r="D108" t="str">
        <f t="shared" si="1"/>
        <v>741产品仓上电动葫芦</v>
      </c>
      <c r="F108" s="22" t="s">
        <v>370</v>
      </c>
      <c r="G108" s="14" t="s">
        <v>826</v>
      </c>
      <c r="J108" t="s">
        <v>827</v>
      </c>
      <c r="L108" s="17" t="s">
        <v>828</v>
      </c>
      <c r="M108" s="17" t="s">
        <v>829</v>
      </c>
      <c r="N108" s="17" t="s">
        <v>830</v>
      </c>
      <c r="O108" s="17" t="s">
        <v>831</v>
      </c>
      <c r="P108" s="17" t="s">
        <v>832</v>
      </c>
    </row>
    <row r="109" spans="1:16">
      <c r="A109" s="3">
        <v>107</v>
      </c>
      <c r="B109" s="26" t="s">
        <v>541</v>
      </c>
      <c r="C109" s="34" t="s">
        <v>540</v>
      </c>
      <c r="D109" t="str">
        <f t="shared" si="1"/>
        <v>336y煤泥离心机油泵电机</v>
      </c>
      <c r="F109" s="22" t="s">
        <v>370</v>
      </c>
      <c r="G109" s="14" t="s">
        <v>833</v>
      </c>
      <c r="J109" t="s">
        <v>834</v>
      </c>
      <c r="L109" s="17" t="s">
        <v>835</v>
      </c>
      <c r="M109" s="17" t="s">
        <v>836</v>
      </c>
      <c r="N109" s="17" t="s">
        <v>837</v>
      </c>
      <c r="O109" s="17" t="s">
        <v>838</v>
      </c>
      <c r="P109" s="17" t="s">
        <v>839</v>
      </c>
    </row>
    <row r="110" spans="1:16">
      <c r="A110" s="3">
        <v>108</v>
      </c>
      <c r="B110" s="42">
        <v>336</v>
      </c>
      <c r="C110" s="43" t="s">
        <v>548</v>
      </c>
      <c r="D110" t="str">
        <f t="shared" si="1"/>
        <v>336煤泥离心机主电机</v>
      </c>
      <c r="F110" s="22" t="s">
        <v>370</v>
      </c>
      <c r="G110" s="14" t="s">
        <v>840</v>
      </c>
      <c r="J110" t="s">
        <v>841</v>
      </c>
      <c r="L110" s="17" t="s">
        <v>842</v>
      </c>
      <c r="M110" s="17" t="s">
        <v>843</v>
      </c>
      <c r="N110" s="17" t="s">
        <v>844</v>
      </c>
      <c r="O110" s="17" t="s">
        <v>845</v>
      </c>
      <c r="P110" s="17" t="s">
        <v>846</v>
      </c>
    </row>
    <row r="111" spans="1:16">
      <c r="A111" s="3">
        <v>109</v>
      </c>
      <c r="B111" s="3" t="s">
        <v>556</v>
      </c>
      <c r="C111" s="34" t="s">
        <v>555</v>
      </c>
      <c r="D111" t="str">
        <f t="shared" si="1"/>
        <v>352y煤泥破碎机油泵电机</v>
      </c>
      <c r="F111" s="22" t="s">
        <v>370</v>
      </c>
      <c r="G111" s="14" t="s">
        <v>847</v>
      </c>
      <c r="J111" t="s">
        <v>848</v>
      </c>
      <c r="L111" s="17" t="s">
        <v>849</v>
      </c>
      <c r="M111" s="17" t="s">
        <v>850</v>
      </c>
      <c r="N111" s="17" t="s">
        <v>851</v>
      </c>
      <c r="O111" s="17"/>
      <c r="P111" s="17"/>
    </row>
    <row r="112" spans="1:16">
      <c r="A112" s="3">
        <v>110</v>
      </c>
      <c r="B112" s="3" t="s">
        <v>564</v>
      </c>
      <c r="C112" s="21" t="s">
        <v>563</v>
      </c>
      <c r="D112" t="str">
        <f t="shared" si="1"/>
        <v>XQJ湿式洗气机</v>
      </c>
      <c r="F112" s="22" t="s">
        <v>370</v>
      </c>
      <c r="G112" s="14" t="s">
        <v>852</v>
      </c>
      <c r="J112" t="s">
        <v>853</v>
      </c>
      <c r="L112" s="17" t="s">
        <v>854</v>
      </c>
      <c r="M112" s="17" t="s">
        <v>855</v>
      </c>
      <c r="N112" s="17" t="s">
        <v>856</v>
      </c>
      <c r="O112" s="17" t="s">
        <v>857</v>
      </c>
      <c r="P112" s="17" t="s">
        <v>858</v>
      </c>
    </row>
    <row r="113" spans="1:16">
      <c r="A113" s="3">
        <v>111</v>
      </c>
      <c r="B113" s="3" t="s">
        <v>859</v>
      </c>
      <c r="C113" s="21" t="s">
        <v>860</v>
      </c>
      <c r="D113" t="str">
        <f t="shared" si="1"/>
        <v>81DY产品仓配电室电源</v>
      </c>
      <c r="F113" s="22" t="s">
        <v>370</v>
      </c>
      <c r="G113" s="14" t="s">
        <v>861</v>
      </c>
      <c r="J113" t="s">
        <v>862</v>
      </c>
      <c r="L113" s="17" t="s">
        <v>863</v>
      </c>
      <c r="M113" s="17"/>
      <c r="N113" s="17" t="s">
        <v>864</v>
      </c>
      <c r="O113" s="17" t="s">
        <v>865</v>
      </c>
      <c r="P113" s="17" t="s">
        <v>866</v>
      </c>
    </row>
    <row r="114" spans="1:16">
      <c r="A114" s="3">
        <v>112</v>
      </c>
      <c r="B114" s="26">
        <v>352</v>
      </c>
      <c r="C114" s="34" t="s">
        <v>571</v>
      </c>
      <c r="D114" t="str">
        <f t="shared" si="1"/>
        <v>352煤泥破碎机</v>
      </c>
      <c r="F114" s="22" t="s">
        <v>370</v>
      </c>
      <c r="G114" s="14" t="s">
        <v>867</v>
      </c>
      <c r="J114" t="s">
        <v>868</v>
      </c>
      <c r="L114" s="17" t="s">
        <v>869</v>
      </c>
      <c r="M114" s="17" t="s">
        <v>870</v>
      </c>
      <c r="N114" s="17" t="s">
        <v>871</v>
      </c>
      <c r="O114" s="17" t="s">
        <v>872</v>
      </c>
      <c r="P114" s="17" t="s">
        <v>873</v>
      </c>
    </row>
    <row r="115" spans="1:16">
      <c r="A115" s="3">
        <v>113</v>
      </c>
      <c r="B115" s="3" t="s">
        <v>579</v>
      </c>
      <c r="C115" s="21" t="s">
        <v>578</v>
      </c>
      <c r="D115" t="str">
        <f t="shared" ref="D115:D144" si="2">B115&amp;C115</f>
        <v>338f清水泵风扇电机</v>
      </c>
      <c r="F115" s="22" t="s">
        <v>370</v>
      </c>
      <c r="G115" s="14" t="s">
        <v>874</v>
      </c>
      <c r="J115" t="s">
        <v>875</v>
      </c>
      <c r="L115" s="17" t="s">
        <v>876</v>
      </c>
      <c r="M115" s="17" t="s">
        <v>877</v>
      </c>
      <c r="N115" s="17" t="s">
        <v>878</v>
      </c>
      <c r="O115" s="17" t="s">
        <v>879</v>
      </c>
      <c r="P115" s="17" t="s">
        <v>880</v>
      </c>
    </row>
    <row r="116" spans="1:16">
      <c r="A116" s="3">
        <v>114</v>
      </c>
      <c r="B116" s="3">
        <v>372</v>
      </c>
      <c r="C116" s="21" t="s">
        <v>881</v>
      </c>
      <c r="D116" t="str">
        <f t="shared" si="2"/>
        <v>372阳离子自动加药装置</v>
      </c>
      <c r="F116" s="22" t="s">
        <v>370</v>
      </c>
      <c r="G116" s="14" t="s">
        <v>882</v>
      </c>
      <c r="J116" t="s">
        <v>883</v>
      </c>
      <c r="L116" s="17" t="s">
        <v>884</v>
      </c>
      <c r="M116" s="17" t="s">
        <v>885</v>
      </c>
      <c r="N116" s="17" t="s">
        <v>886</v>
      </c>
      <c r="O116" s="17" t="s">
        <v>887</v>
      </c>
      <c r="P116" s="17" t="s">
        <v>888</v>
      </c>
    </row>
    <row r="117" spans="1:16">
      <c r="A117" s="3">
        <v>115</v>
      </c>
      <c r="B117" s="3">
        <v>371</v>
      </c>
      <c r="C117" s="21" t="s">
        <v>889</v>
      </c>
      <c r="D117" t="str">
        <f t="shared" si="2"/>
        <v>371阴离子自动加药装置</v>
      </c>
      <c r="F117" s="22" t="s">
        <v>370</v>
      </c>
      <c r="G117" s="14" t="s">
        <v>890</v>
      </c>
      <c r="J117" t="s">
        <v>891</v>
      </c>
      <c r="L117" s="17" t="s">
        <v>892</v>
      </c>
      <c r="M117" s="17" t="s">
        <v>892</v>
      </c>
      <c r="N117" s="17" t="s">
        <v>893</v>
      </c>
      <c r="O117" s="17" t="s">
        <v>894</v>
      </c>
      <c r="P117" s="17" t="s">
        <v>895</v>
      </c>
    </row>
    <row r="118" spans="1:16">
      <c r="A118" s="3">
        <v>116</v>
      </c>
      <c r="B118" s="26">
        <v>354</v>
      </c>
      <c r="C118" s="34" t="s">
        <v>586</v>
      </c>
      <c r="D118" t="str">
        <f t="shared" si="2"/>
        <v>354压滤系统排污泵</v>
      </c>
      <c r="F118" s="44" t="s">
        <v>370</v>
      </c>
      <c r="G118" s="45" t="s">
        <v>896</v>
      </c>
      <c r="J118" t="s">
        <v>897</v>
      </c>
      <c r="L118" s="17" t="s">
        <v>898</v>
      </c>
      <c r="M118" s="17" t="s">
        <v>899</v>
      </c>
      <c r="N118" s="17" t="s">
        <v>900</v>
      </c>
      <c r="O118" s="17" t="s">
        <v>901</v>
      </c>
      <c r="P118" s="17" t="s">
        <v>902</v>
      </c>
    </row>
    <row r="119" spans="1:16">
      <c r="A119" s="3">
        <v>117</v>
      </c>
      <c r="B119" s="3" t="s">
        <v>594</v>
      </c>
      <c r="C119" s="21" t="s">
        <v>593</v>
      </c>
      <c r="D119" t="str">
        <f t="shared" si="2"/>
        <v>406B浓缩池下层排污泵</v>
      </c>
      <c r="F119" s="22" t="s">
        <v>903</v>
      </c>
      <c r="G119" s="14">
        <v>721</v>
      </c>
      <c r="J119" t="s">
        <v>904</v>
      </c>
      <c r="L119" s="17" t="s">
        <v>905</v>
      </c>
      <c r="M119" s="17" t="s">
        <v>906</v>
      </c>
      <c r="N119" s="17" t="s">
        <v>907</v>
      </c>
      <c r="O119" s="17" t="s">
        <v>908</v>
      </c>
      <c r="P119" s="17" t="s">
        <v>909</v>
      </c>
    </row>
    <row r="120" spans="1:16">
      <c r="A120" s="3">
        <v>118</v>
      </c>
      <c r="B120" s="26" t="s">
        <v>601</v>
      </c>
      <c r="C120" s="34" t="s">
        <v>593</v>
      </c>
      <c r="D120" t="str">
        <f t="shared" si="2"/>
        <v>406A浓缩池下层排污泵</v>
      </c>
      <c r="F120" s="22" t="s">
        <v>903</v>
      </c>
      <c r="G120" s="14">
        <v>722</v>
      </c>
      <c r="J120" t="s">
        <v>910</v>
      </c>
      <c r="L120" s="17" t="s">
        <v>911</v>
      </c>
      <c r="M120" s="17" t="s">
        <v>912</v>
      </c>
      <c r="N120" s="17" t="s">
        <v>913</v>
      </c>
      <c r="O120" s="17" t="s">
        <v>914</v>
      </c>
      <c r="P120" s="17" t="s">
        <v>915</v>
      </c>
    </row>
    <row r="121" spans="1:16">
      <c r="A121" s="3">
        <v>119</v>
      </c>
      <c r="B121" s="26">
        <v>353</v>
      </c>
      <c r="C121" s="34" t="s">
        <v>916</v>
      </c>
      <c r="D121" t="str">
        <f t="shared" si="2"/>
        <v>353煤泥转载带式输送机</v>
      </c>
      <c r="F121" s="22" t="s">
        <v>903</v>
      </c>
      <c r="G121" s="14">
        <v>723</v>
      </c>
      <c r="J121" t="s">
        <v>917</v>
      </c>
      <c r="L121" s="17" t="s">
        <v>918</v>
      </c>
      <c r="M121" s="17" t="s">
        <v>919</v>
      </c>
      <c r="N121" s="17" t="s">
        <v>920</v>
      </c>
      <c r="O121" s="17" t="s">
        <v>921</v>
      </c>
      <c r="P121" s="17" t="s">
        <v>922</v>
      </c>
    </row>
    <row r="122" spans="1:16">
      <c r="A122" s="3">
        <v>120</v>
      </c>
      <c r="B122" s="26">
        <v>328</v>
      </c>
      <c r="C122" s="34" t="s">
        <v>607</v>
      </c>
      <c r="D122" t="str">
        <f t="shared" si="2"/>
        <v>328重介系统轴封水泵</v>
      </c>
      <c r="F122" s="22" t="s">
        <v>903</v>
      </c>
      <c r="G122" s="14">
        <v>724</v>
      </c>
      <c r="J122" t="s">
        <v>923</v>
      </c>
      <c r="L122" s="17" t="s">
        <v>924</v>
      </c>
      <c r="M122" s="17" t="s">
        <v>925</v>
      </c>
      <c r="N122" s="17" t="s">
        <v>926</v>
      </c>
      <c r="O122" s="17" t="s">
        <v>927</v>
      </c>
      <c r="P122" s="17" t="s">
        <v>928</v>
      </c>
    </row>
    <row r="123" spans="1:16">
      <c r="A123" s="3">
        <v>121</v>
      </c>
      <c r="B123" s="3">
        <v>407</v>
      </c>
      <c r="C123" s="21" t="s">
        <v>929</v>
      </c>
      <c r="D123" t="str">
        <f t="shared" si="2"/>
        <v>407浓缩车间电动葫芦</v>
      </c>
      <c r="F123" s="22" t="s">
        <v>903</v>
      </c>
      <c r="G123" s="14">
        <v>725</v>
      </c>
      <c r="J123" t="s">
        <v>930</v>
      </c>
      <c r="L123" s="17" t="s">
        <v>931</v>
      </c>
      <c r="M123" s="17" t="s">
        <v>932</v>
      </c>
      <c r="N123" s="17" t="s">
        <v>933</v>
      </c>
      <c r="O123" s="17" t="s">
        <v>934</v>
      </c>
      <c r="P123" s="17" t="s">
        <v>935</v>
      </c>
    </row>
    <row r="124" spans="1:16">
      <c r="A124" s="3">
        <v>122</v>
      </c>
      <c r="B124" s="3">
        <v>401</v>
      </c>
      <c r="C124" s="21" t="s">
        <v>936</v>
      </c>
      <c r="D124" t="str">
        <f t="shared" si="2"/>
        <v>401浓缩机</v>
      </c>
      <c r="F124" s="22" t="s">
        <v>903</v>
      </c>
      <c r="G124" s="14">
        <v>726</v>
      </c>
      <c r="J124" t="s">
        <v>937</v>
      </c>
      <c r="L124" s="17" t="s">
        <v>938</v>
      </c>
      <c r="M124" s="17" t="s">
        <v>939</v>
      </c>
      <c r="N124" s="17" t="s">
        <v>940</v>
      </c>
      <c r="O124" s="17" t="s">
        <v>941</v>
      </c>
      <c r="P124" s="17" t="s">
        <v>942</v>
      </c>
    </row>
    <row r="125" spans="1:16">
      <c r="A125" s="3">
        <v>123</v>
      </c>
      <c r="B125" s="26">
        <v>356</v>
      </c>
      <c r="C125" s="34" t="s">
        <v>614</v>
      </c>
      <c r="D125" t="str">
        <f t="shared" si="2"/>
        <v>356压滤系统轴封水泵</v>
      </c>
      <c r="F125" s="22" t="s">
        <v>903</v>
      </c>
      <c r="G125" s="14">
        <v>727</v>
      </c>
      <c r="J125" t="s">
        <v>943</v>
      </c>
      <c r="L125" s="17" t="s">
        <v>944</v>
      </c>
      <c r="M125" s="17" t="s">
        <v>945</v>
      </c>
      <c r="N125" s="17" t="s">
        <v>946</v>
      </c>
      <c r="O125" s="17" t="s">
        <v>947</v>
      </c>
      <c r="P125" s="17" t="s">
        <v>948</v>
      </c>
    </row>
    <row r="126" spans="1:16">
      <c r="A126" s="3">
        <v>124</v>
      </c>
      <c r="B126" s="26">
        <v>403</v>
      </c>
      <c r="C126" s="34" t="s">
        <v>619</v>
      </c>
      <c r="D126" t="str">
        <f t="shared" si="2"/>
        <v>403底流泵</v>
      </c>
      <c r="F126" s="22" t="s">
        <v>903</v>
      </c>
      <c r="G126" s="14">
        <v>728</v>
      </c>
      <c r="J126" t="s">
        <v>949</v>
      </c>
      <c r="L126" s="17" t="s">
        <v>950</v>
      </c>
      <c r="M126" s="17" t="s">
        <v>951</v>
      </c>
      <c r="N126" s="17" t="s">
        <v>952</v>
      </c>
      <c r="O126" s="17" t="s">
        <v>953</v>
      </c>
      <c r="P126" s="17" t="s">
        <v>954</v>
      </c>
    </row>
    <row r="127" spans="1:16">
      <c r="A127" s="3">
        <v>125</v>
      </c>
      <c r="B127" s="26">
        <v>402</v>
      </c>
      <c r="C127" s="34" t="s">
        <v>619</v>
      </c>
      <c r="D127" t="str">
        <f t="shared" si="2"/>
        <v>402底流泵</v>
      </c>
      <c r="F127" s="22" t="s">
        <v>903</v>
      </c>
      <c r="G127" s="14">
        <v>729</v>
      </c>
      <c r="J127" t="s">
        <v>955</v>
      </c>
      <c r="L127" s="17" t="s">
        <v>956</v>
      </c>
      <c r="M127" s="17" t="s">
        <v>957</v>
      </c>
      <c r="N127" s="17" t="s">
        <v>958</v>
      </c>
      <c r="O127" s="17" t="s">
        <v>959</v>
      </c>
      <c r="P127" s="17" t="s">
        <v>960</v>
      </c>
    </row>
    <row r="128" spans="1:16">
      <c r="A128" s="3">
        <v>126</v>
      </c>
      <c r="B128" s="3">
        <v>405</v>
      </c>
      <c r="C128" s="21" t="s">
        <v>632</v>
      </c>
      <c r="D128" t="str">
        <f t="shared" si="2"/>
        <v>405冲洗水泵</v>
      </c>
      <c r="F128" s="22" t="s">
        <v>903</v>
      </c>
      <c r="G128" s="14">
        <v>730</v>
      </c>
      <c r="J128" t="s">
        <v>961</v>
      </c>
      <c r="L128" s="17" t="s">
        <v>962</v>
      </c>
      <c r="M128" s="17" t="s">
        <v>963</v>
      </c>
      <c r="N128" s="17" t="s">
        <v>964</v>
      </c>
      <c r="O128" s="17" t="s">
        <v>965</v>
      </c>
      <c r="P128" s="17" t="s">
        <v>966</v>
      </c>
    </row>
    <row r="129" spans="1:16">
      <c r="A129" s="3">
        <v>127</v>
      </c>
      <c r="B129" s="3" t="s">
        <v>640</v>
      </c>
      <c r="C129" s="21" t="s">
        <v>639</v>
      </c>
      <c r="D129" t="str">
        <f t="shared" si="2"/>
        <v>711FB电业翻板</v>
      </c>
      <c r="F129" s="22" t="s">
        <v>903</v>
      </c>
      <c r="G129" s="14">
        <v>731</v>
      </c>
      <c r="J129" t="s">
        <v>967</v>
      </c>
      <c r="L129" s="17" t="s">
        <v>968</v>
      </c>
      <c r="M129" s="17" t="s">
        <v>969</v>
      </c>
      <c r="N129" s="17" t="s">
        <v>970</v>
      </c>
      <c r="O129" s="17" t="s">
        <v>971</v>
      </c>
      <c r="P129" s="17" t="s">
        <v>972</v>
      </c>
    </row>
    <row r="130" spans="1:16">
      <c r="A130" s="3">
        <v>128</v>
      </c>
      <c r="B130" s="3" t="s">
        <v>973</v>
      </c>
      <c r="C130" s="21" t="s">
        <v>974</v>
      </c>
      <c r="D130" t="str">
        <f t="shared" si="2"/>
        <v>702B精煤采制样系统</v>
      </c>
      <c r="F130" s="22" t="s">
        <v>903</v>
      </c>
      <c r="G130" s="14">
        <v>732</v>
      </c>
      <c r="J130" t="s">
        <v>975</v>
      </c>
      <c r="L130" s="17" t="s">
        <v>976</v>
      </c>
      <c r="M130" s="17" t="s">
        <v>977</v>
      </c>
      <c r="N130" s="17" t="s">
        <v>978</v>
      </c>
      <c r="O130" s="17" t="s">
        <v>979</v>
      </c>
      <c r="P130" s="17" t="s">
        <v>980</v>
      </c>
    </row>
    <row r="131" spans="1:16">
      <c r="A131" s="3">
        <v>129</v>
      </c>
      <c r="B131" s="3" t="s">
        <v>981</v>
      </c>
      <c r="C131" s="21" t="s">
        <v>982</v>
      </c>
      <c r="D131" t="str">
        <f t="shared" si="2"/>
        <v>701B混煤采制样系统</v>
      </c>
      <c r="F131" s="22" t="s">
        <v>903</v>
      </c>
      <c r="G131" s="14">
        <v>733</v>
      </c>
      <c r="J131" t="s">
        <v>983</v>
      </c>
      <c r="L131" s="17" t="s">
        <v>984</v>
      </c>
      <c r="M131" s="17" t="s">
        <v>985</v>
      </c>
      <c r="N131" s="17" t="s">
        <v>986</v>
      </c>
      <c r="O131" s="17" t="s">
        <v>987</v>
      </c>
      <c r="P131" s="17" t="s">
        <v>988</v>
      </c>
    </row>
    <row r="132" spans="1:16">
      <c r="A132" s="28">
        <v>130</v>
      </c>
      <c r="B132" s="28">
        <v>345</v>
      </c>
      <c r="C132" s="29" t="s">
        <v>989</v>
      </c>
      <c r="D132" s="27" t="str">
        <f t="shared" si="2"/>
        <v>345压榨水泵电源</v>
      </c>
      <c r="F132" s="22" t="s">
        <v>903</v>
      </c>
      <c r="G132" s="14">
        <v>734</v>
      </c>
      <c r="J132" t="s">
        <v>990</v>
      </c>
      <c r="L132" s="17" t="s">
        <v>991</v>
      </c>
      <c r="M132" s="17" t="s">
        <v>992</v>
      </c>
      <c r="N132" s="17" t="s">
        <v>993</v>
      </c>
      <c r="O132" s="17" t="s">
        <v>994</v>
      </c>
      <c r="P132" s="17" t="s">
        <v>995</v>
      </c>
    </row>
    <row r="133" spans="1:16">
      <c r="A133" s="3">
        <v>131</v>
      </c>
      <c r="B133" s="3" t="s">
        <v>648</v>
      </c>
      <c r="C133" s="21" t="s">
        <v>647</v>
      </c>
      <c r="D133" t="str">
        <f t="shared" si="2"/>
        <v>711y块精煤分级筛油泵电机</v>
      </c>
      <c r="F133" s="22" t="s">
        <v>903</v>
      </c>
      <c r="G133" s="14">
        <v>735</v>
      </c>
      <c r="J133" t="s">
        <v>996</v>
      </c>
      <c r="L133" s="17" t="s">
        <v>997</v>
      </c>
      <c r="M133" s="17" t="s">
        <v>998</v>
      </c>
      <c r="N133" s="17" t="s">
        <v>999</v>
      </c>
      <c r="O133" s="17" t="s">
        <v>1000</v>
      </c>
      <c r="P133" s="17" t="s">
        <v>1001</v>
      </c>
    </row>
    <row r="134" spans="1:16">
      <c r="A134" s="3">
        <v>132</v>
      </c>
      <c r="B134" s="3" t="s">
        <v>1002</v>
      </c>
      <c r="C134" s="21" t="s">
        <v>1003</v>
      </c>
      <c r="D134" t="str">
        <f t="shared" si="2"/>
        <v>711b产品仓上块精煤分级筛</v>
      </c>
      <c r="F134" s="22" t="s">
        <v>903</v>
      </c>
      <c r="G134" s="14">
        <v>736</v>
      </c>
      <c r="J134" t="s">
        <v>1004</v>
      </c>
      <c r="L134" s="17"/>
      <c r="M134" s="17"/>
      <c r="N134" s="17"/>
      <c r="O134" s="17"/>
      <c r="P134" s="17"/>
    </row>
    <row r="135" ht="28" spans="1:16">
      <c r="A135" s="3">
        <v>133</v>
      </c>
      <c r="B135" s="3" t="s">
        <v>1005</v>
      </c>
      <c r="C135" s="21" t="s">
        <v>1003</v>
      </c>
      <c r="D135" t="str">
        <f t="shared" si="2"/>
        <v>711a产品仓上块精煤分级筛</v>
      </c>
      <c r="F135" s="25" t="s">
        <v>17</v>
      </c>
      <c r="G135" s="46">
        <v>301</v>
      </c>
      <c r="J135" t="s">
        <v>1006</v>
      </c>
      <c r="L135" s="17"/>
      <c r="M135" s="17"/>
      <c r="N135" s="17"/>
      <c r="O135" s="17"/>
      <c r="P135" s="17"/>
    </row>
    <row r="136" ht="28" spans="1:16">
      <c r="A136" s="3">
        <v>134</v>
      </c>
      <c r="B136" s="3" t="s">
        <v>656</v>
      </c>
      <c r="C136" s="21" t="s">
        <v>655</v>
      </c>
      <c r="D136" t="str">
        <f t="shared" si="2"/>
        <v>713EZ混煤配仓闸门液压站</v>
      </c>
      <c r="F136" s="25" t="s">
        <v>27</v>
      </c>
      <c r="G136" s="46">
        <v>121</v>
      </c>
      <c r="J136" t="s">
        <v>1007</v>
      </c>
      <c r="L136" s="17"/>
      <c r="M136" s="17"/>
      <c r="N136" s="17"/>
      <c r="O136" s="17"/>
      <c r="P136" s="17"/>
    </row>
    <row r="137" spans="1:16">
      <c r="A137" s="3">
        <v>135</v>
      </c>
      <c r="B137" s="3" t="s">
        <v>664</v>
      </c>
      <c r="C137" s="21" t="s">
        <v>655</v>
      </c>
      <c r="D137" t="str">
        <f t="shared" si="2"/>
        <v>713GZ混煤配仓闸门液压站</v>
      </c>
      <c r="F137" s="25" t="s">
        <v>37</v>
      </c>
      <c r="G137" s="46">
        <v>141</v>
      </c>
      <c r="J137" t="s">
        <v>1008</v>
      </c>
      <c r="L137" s="17"/>
      <c r="M137" s="17"/>
      <c r="N137" s="17"/>
      <c r="O137" s="17"/>
      <c r="P137" s="17"/>
    </row>
    <row r="138" ht="28" spans="1:16">
      <c r="A138" s="3">
        <v>136</v>
      </c>
      <c r="B138" s="3" t="s">
        <v>673</v>
      </c>
      <c r="C138" s="21" t="s">
        <v>655</v>
      </c>
      <c r="D138" t="str">
        <f t="shared" si="2"/>
        <v>713AZ混煤配仓闸门液压站</v>
      </c>
      <c r="F138" s="25" t="s">
        <v>131</v>
      </c>
      <c r="G138" s="46">
        <v>911</v>
      </c>
      <c r="J138" t="s">
        <v>1009</v>
      </c>
      <c r="L138" s="17"/>
      <c r="M138" s="17"/>
      <c r="N138" s="17"/>
      <c r="O138" s="17"/>
      <c r="P138" s="17"/>
    </row>
    <row r="139" spans="1:16">
      <c r="A139" s="3">
        <v>137</v>
      </c>
      <c r="B139" s="3" t="s">
        <v>681</v>
      </c>
      <c r="C139" s="21" t="s">
        <v>655</v>
      </c>
      <c r="D139" t="str">
        <f t="shared" si="2"/>
        <v>713CZ混煤配仓闸门液压站</v>
      </c>
      <c r="F139" s="25" t="s">
        <v>140</v>
      </c>
      <c r="G139" s="46">
        <v>122</v>
      </c>
      <c r="J139" t="s">
        <v>1010</v>
      </c>
      <c r="L139" s="17"/>
      <c r="M139" s="17"/>
      <c r="N139" s="17"/>
      <c r="O139" s="17"/>
      <c r="P139" s="17"/>
    </row>
    <row r="140" spans="1:16">
      <c r="A140" s="3">
        <v>138</v>
      </c>
      <c r="B140" s="3" t="s">
        <v>690</v>
      </c>
      <c r="C140" s="21" t="s">
        <v>1011</v>
      </c>
      <c r="D140" t="str">
        <f t="shared" si="2"/>
        <v>712EZ精煤配仓闸门液压站</v>
      </c>
      <c r="F140" s="25" t="s">
        <v>194</v>
      </c>
      <c r="G140" s="46">
        <v>901</v>
      </c>
      <c r="J140" t="s">
        <v>1012</v>
      </c>
      <c r="L140" s="17"/>
      <c r="M140" s="17"/>
      <c r="N140" s="17"/>
      <c r="O140" s="17"/>
      <c r="P140" s="17"/>
    </row>
    <row r="141" spans="1:16">
      <c r="A141" s="3">
        <v>139</v>
      </c>
      <c r="B141" s="3" t="s">
        <v>698</v>
      </c>
      <c r="C141" s="21" t="s">
        <v>1011</v>
      </c>
      <c r="D141" t="str">
        <f t="shared" si="2"/>
        <v>712GZ精煤配仓闸门液压站</v>
      </c>
      <c r="F141" s="25" t="s">
        <v>435</v>
      </c>
      <c r="G141" s="46">
        <v>320</v>
      </c>
      <c r="J141" t="s">
        <v>1013</v>
      </c>
      <c r="L141" s="17"/>
      <c r="M141" s="17"/>
      <c r="N141" s="17"/>
      <c r="O141" s="17"/>
      <c r="P141" s="17"/>
    </row>
    <row r="142" spans="1:16">
      <c r="A142" s="3">
        <v>140</v>
      </c>
      <c r="B142" s="3" t="s">
        <v>705</v>
      </c>
      <c r="C142" s="21" t="s">
        <v>1011</v>
      </c>
      <c r="D142" t="str">
        <f t="shared" si="2"/>
        <v>712AZ精煤配仓闸门液压站</v>
      </c>
      <c r="F142" s="25" t="s">
        <v>443</v>
      </c>
      <c r="G142" s="46">
        <v>321</v>
      </c>
      <c r="J142" t="s">
        <v>1014</v>
      </c>
      <c r="L142" s="17"/>
      <c r="M142" s="17"/>
      <c r="N142" s="17"/>
      <c r="O142" s="17"/>
      <c r="P142" s="17"/>
    </row>
    <row r="143" spans="1:16">
      <c r="A143" s="3">
        <v>141</v>
      </c>
      <c r="B143" s="3" t="s">
        <v>713</v>
      </c>
      <c r="C143" s="21" t="s">
        <v>1011</v>
      </c>
      <c r="D143" t="str">
        <f t="shared" si="2"/>
        <v>712CZ精煤配仓闸门液压站</v>
      </c>
      <c r="F143" s="25" t="s">
        <v>712</v>
      </c>
      <c r="G143" s="46">
        <v>713</v>
      </c>
      <c r="J143" t="s">
        <v>1015</v>
      </c>
      <c r="L143" s="17"/>
      <c r="M143" s="17"/>
      <c r="N143" s="17"/>
      <c r="O143" s="17"/>
      <c r="P143" s="17"/>
    </row>
    <row r="144" spans="1:16">
      <c r="A144" s="3">
        <v>142</v>
      </c>
      <c r="B144" s="3">
        <v>338</v>
      </c>
      <c r="C144" s="21" t="s">
        <v>720</v>
      </c>
      <c r="D144" t="str">
        <f t="shared" si="2"/>
        <v>338清水泵</v>
      </c>
      <c r="F144" s="25" t="s">
        <v>712</v>
      </c>
      <c r="G144" s="46">
        <v>712</v>
      </c>
      <c r="J144" t="s">
        <v>1016</v>
      </c>
      <c r="L144" s="17" t="s">
        <v>1017</v>
      </c>
      <c r="M144" s="17" t="s">
        <v>1018</v>
      </c>
      <c r="N144" s="17" t="s">
        <v>1019</v>
      </c>
      <c r="O144" s="17" t="s">
        <v>1020</v>
      </c>
      <c r="P144" s="17" t="s">
        <v>1021</v>
      </c>
    </row>
    <row r="145" ht="28" spans="1:16">
      <c r="A145" s="3">
        <v>143</v>
      </c>
      <c r="B145" s="47" t="s">
        <v>1022</v>
      </c>
      <c r="C145" s="21" t="s">
        <v>1023</v>
      </c>
      <c r="D145" t="str">
        <f t="shared" ref="D145:D178" si="3">B145&amp;C145</f>
        <v>AA1消防泵房电源</v>
      </c>
      <c r="F145" s="25" t="s">
        <v>751</v>
      </c>
      <c r="G145" s="46">
        <v>701</v>
      </c>
      <c r="J145" t="s">
        <v>1024</v>
      </c>
      <c r="L145" s="17"/>
      <c r="M145" s="17"/>
      <c r="N145" s="17"/>
      <c r="O145" s="17"/>
      <c r="P145" s="17"/>
    </row>
    <row r="146" spans="1:16">
      <c r="A146" s="3">
        <v>144</v>
      </c>
      <c r="B146" s="47">
        <v>325</v>
      </c>
      <c r="C146" s="21" t="s">
        <v>1025</v>
      </c>
      <c r="D146" t="str">
        <f t="shared" si="3"/>
        <v>325电动双梁起重机</v>
      </c>
      <c r="F146" s="25" t="s">
        <v>781</v>
      </c>
      <c r="G146" s="46">
        <v>351</v>
      </c>
      <c r="J146" t="s">
        <v>1026</v>
      </c>
      <c r="L146" s="17"/>
      <c r="M146" s="17"/>
      <c r="N146" s="17"/>
      <c r="O146" s="17"/>
      <c r="P146" s="17"/>
    </row>
    <row r="147" spans="1:16">
      <c r="A147" s="3">
        <v>145</v>
      </c>
      <c r="B147" s="47" t="s">
        <v>1027</v>
      </c>
      <c r="C147" s="21" t="s">
        <v>1028</v>
      </c>
      <c r="D147" t="str">
        <f t="shared" si="3"/>
        <v>1AP主厂房照明电源</v>
      </c>
      <c r="F147" s="48" t="s">
        <v>916</v>
      </c>
      <c r="G147" s="49">
        <v>353</v>
      </c>
      <c r="J147" t="s">
        <v>1029</v>
      </c>
      <c r="L147" s="17"/>
      <c r="M147" s="17"/>
      <c r="N147" s="17"/>
      <c r="O147" s="17"/>
      <c r="P147" s="17"/>
    </row>
    <row r="148" spans="1:16">
      <c r="A148" s="3">
        <v>146</v>
      </c>
      <c r="B148" s="47" t="s">
        <v>1030</v>
      </c>
      <c r="C148" s="21" t="s">
        <v>1031</v>
      </c>
      <c r="D148" t="str">
        <f t="shared" si="3"/>
        <v>1ACL-Z产品仓应激照明总电源</v>
      </c>
      <c r="F148" s="25" t="s">
        <v>789</v>
      </c>
      <c r="G148" s="14">
        <v>349</v>
      </c>
      <c r="J148" t="s">
        <v>1032</v>
      </c>
      <c r="L148" s="17"/>
      <c r="M148" s="17"/>
      <c r="N148" s="17"/>
      <c r="O148" s="17"/>
      <c r="P148" s="17"/>
    </row>
    <row r="149" spans="1:16">
      <c r="A149" s="3">
        <v>147</v>
      </c>
      <c r="B149" s="47" t="s">
        <v>1033</v>
      </c>
      <c r="C149" s="21" t="s">
        <v>1034</v>
      </c>
      <c r="D149" t="str">
        <f t="shared" si="3"/>
        <v>PSB2X11原煤储煤场下消防排水泵</v>
      </c>
      <c r="F149" s="25" t="s">
        <v>789</v>
      </c>
      <c r="G149" s="14">
        <v>350</v>
      </c>
      <c r="J149" t="s">
        <v>1035</v>
      </c>
      <c r="L149" s="17"/>
      <c r="M149" s="17"/>
      <c r="N149" s="17"/>
      <c r="O149" s="17"/>
      <c r="P149" s="17"/>
    </row>
    <row r="150" spans="1:16">
      <c r="A150" s="3">
        <v>148</v>
      </c>
      <c r="B150" s="47" t="s">
        <v>1036</v>
      </c>
      <c r="C150" s="21" t="s">
        <v>1037</v>
      </c>
      <c r="D150" t="str">
        <f t="shared" si="3"/>
        <v>AP1办公楼电源</v>
      </c>
      <c r="J150" t="s">
        <v>1038</v>
      </c>
      <c r="L150" s="17"/>
      <c r="M150" s="17"/>
      <c r="N150" s="17"/>
      <c r="O150" s="17"/>
      <c r="P150" s="17"/>
    </row>
    <row r="151" spans="1:16">
      <c r="A151" s="3">
        <v>149</v>
      </c>
      <c r="B151" s="47" t="s">
        <v>1039</v>
      </c>
      <c r="C151" s="21" t="s">
        <v>1040</v>
      </c>
      <c r="D151" t="str">
        <f t="shared" si="3"/>
        <v>HRJZ1X高区换热机组电源</v>
      </c>
      <c r="J151" t="s">
        <v>1041</v>
      </c>
      <c r="L151" s="17"/>
      <c r="M151" s="17"/>
      <c r="N151" s="17"/>
      <c r="O151" s="17"/>
      <c r="P151" s="17"/>
    </row>
    <row r="152" spans="1:16">
      <c r="A152" s="3">
        <v>150</v>
      </c>
      <c r="B152" s="47" t="s">
        <v>1042</v>
      </c>
      <c r="C152" s="21" t="s">
        <v>1023</v>
      </c>
      <c r="D152" t="str">
        <f t="shared" si="3"/>
        <v>AA3消防泵房电源</v>
      </c>
      <c r="J152" t="s">
        <v>1043</v>
      </c>
      <c r="L152" s="17"/>
      <c r="M152" s="17"/>
      <c r="N152" s="17"/>
      <c r="O152" s="17"/>
      <c r="P152" s="17"/>
    </row>
    <row r="153" spans="1:16">
      <c r="A153" s="3">
        <v>151</v>
      </c>
      <c r="B153" s="47" t="s">
        <v>1044</v>
      </c>
      <c r="C153" s="21" t="s">
        <v>1045</v>
      </c>
      <c r="D153" t="str">
        <f t="shared" si="3"/>
        <v>31M4X变电所照明电源</v>
      </c>
      <c r="J153" t="s">
        <v>1046</v>
      </c>
      <c r="L153" s="17"/>
      <c r="M153" s="17"/>
      <c r="N153" s="17"/>
      <c r="O153" s="17"/>
      <c r="P153" s="17"/>
    </row>
    <row r="154" spans="1:16">
      <c r="A154" s="3">
        <v>152</v>
      </c>
      <c r="B154" s="47" t="s">
        <v>1047</v>
      </c>
      <c r="C154" s="21" t="s">
        <v>1048</v>
      </c>
      <c r="D154" t="str">
        <f t="shared" si="3"/>
        <v>1AL-1原煤缓冲仓照明总电源</v>
      </c>
      <c r="J154" t="s">
        <v>1049</v>
      </c>
      <c r="L154" s="17"/>
      <c r="M154" s="17"/>
      <c r="N154" s="17"/>
      <c r="O154" s="17"/>
      <c r="P154" s="17"/>
    </row>
    <row r="155" spans="1:16">
      <c r="A155" s="3">
        <v>153</v>
      </c>
      <c r="B155" s="3" t="s">
        <v>1050</v>
      </c>
      <c r="C155" s="21" t="s">
        <v>1051</v>
      </c>
      <c r="D155" t="str">
        <f t="shared" si="3"/>
        <v>31AP1煤样室电源</v>
      </c>
      <c r="J155" t="s">
        <v>1052</v>
      </c>
      <c r="L155" s="17"/>
      <c r="M155" s="17"/>
      <c r="N155" s="17"/>
      <c r="O155" s="17"/>
      <c r="P155" s="17"/>
    </row>
    <row r="156" spans="1:16">
      <c r="A156" s="3">
        <v>154</v>
      </c>
      <c r="B156" s="3" t="s">
        <v>1053</v>
      </c>
      <c r="C156" s="21" t="s">
        <v>1054</v>
      </c>
      <c r="D156" t="str">
        <f t="shared" si="3"/>
        <v>NSMX浓缩车间照明电源</v>
      </c>
      <c r="J156" t="s">
        <v>1055</v>
      </c>
      <c r="L156" s="17"/>
      <c r="M156" s="17"/>
      <c r="N156" s="17"/>
      <c r="O156" s="17"/>
      <c r="P156" s="17"/>
    </row>
    <row r="157" spans="1:16">
      <c r="A157" s="3">
        <v>155</v>
      </c>
      <c r="B157" s="3" t="s">
        <v>1056</v>
      </c>
      <c r="C157" s="21" t="s">
        <v>1057</v>
      </c>
      <c r="D157" t="str">
        <f t="shared" si="3"/>
        <v>XFP1消防炮电源</v>
      </c>
      <c r="J157" t="s">
        <v>1058</v>
      </c>
      <c r="L157" s="17"/>
      <c r="M157" s="17"/>
      <c r="N157" s="17"/>
      <c r="O157" s="17"/>
      <c r="P157" s="17"/>
    </row>
    <row r="158" spans="1:16">
      <c r="A158" s="3">
        <v>156</v>
      </c>
      <c r="B158" s="3" t="s">
        <v>1059</v>
      </c>
      <c r="C158" s="21" t="s">
        <v>1057</v>
      </c>
      <c r="D158" t="str">
        <f t="shared" si="3"/>
        <v>XFP2消防炮电源</v>
      </c>
      <c r="J158" t="s">
        <v>1060</v>
      </c>
      <c r="L158" s="17"/>
      <c r="M158" s="17"/>
      <c r="N158" s="17"/>
      <c r="O158" s="17"/>
      <c r="P158" s="17"/>
    </row>
    <row r="159" spans="1:16">
      <c r="A159" s="3">
        <v>157</v>
      </c>
      <c r="B159" s="3" t="s">
        <v>1061</v>
      </c>
      <c r="C159" s="21" t="s">
        <v>1057</v>
      </c>
      <c r="D159" t="str">
        <f t="shared" si="3"/>
        <v>XFP3消防炮电源</v>
      </c>
      <c r="J159" t="s">
        <v>1062</v>
      </c>
      <c r="L159" s="17"/>
      <c r="M159" s="17"/>
      <c r="N159" s="17"/>
      <c r="O159" s="17"/>
      <c r="P159" s="17"/>
    </row>
    <row r="160" spans="1:16">
      <c r="A160" s="3">
        <v>158</v>
      </c>
      <c r="B160" s="3" t="s">
        <v>1063</v>
      </c>
      <c r="C160" s="21" t="s">
        <v>1064</v>
      </c>
      <c r="D160" t="str">
        <f t="shared" si="3"/>
        <v>PLCA1控制电源</v>
      </c>
      <c r="J160" t="s">
        <v>1065</v>
      </c>
      <c r="L160" s="17"/>
      <c r="M160" s="17"/>
      <c r="N160" s="17"/>
      <c r="O160" s="17"/>
      <c r="P160" s="17"/>
    </row>
    <row r="161" spans="1:16">
      <c r="A161" s="3">
        <v>159</v>
      </c>
      <c r="B161" s="3" t="s">
        <v>1066</v>
      </c>
      <c r="C161" s="21" t="s">
        <v>1067</v>
      </c>
      <c r="D161" t="str">
        <f t="shared" si="3"/>
        <v>31AP3配电箱电源</v>
      </c>
      <c r="J161" t="s">
        <v>1068</v>
      </c>
      <c r="L161" s="17"/>
      <c r="M161" s="17"/>
      <c r="N161" s="17"/>
      <c r="O161" s="17"/>
      <c r="P161" s="17"/>
    </row>
    <row r="162" spans="1:16">
      <c r="A162" s="3">
        <v>160</v>
      </c>
      <c r="B162" s="3" t="s">
        <v>1069</v>
      </c>
      <c r="C162" s="21" t="s">
        <v>1070</v>
      </c>
      <c r="D162" t="str">
        <f t="shared" si="3"/>
        <v>31WYB消防增压稳压水泵</v>
      </c>
      <c r="J162" t="s">
        <v>1071</v>
      </c>
      <c r="L162" s="17"/>
      <c r="M162" s="17"/>
      <c r="N162" s="17"/>
      <c r="O162" s="17"/>
      <c r="P162" s="17"/>
    </row>
    <row r="163" spans="1:16">
      <c r="A163" s="3">
        <v>161</v>
      </c>
      <c r="B163" s="3" t="s">
        <v>1072</v>
      </c>
      <c r="C163" s="21" t="s">
        <v>1073</v>
      </c>
      <c r="D163" t="str">
        <f t="shared" si="3"/>
        <v>RSJZX生活热水机组电源</v>
      </c>
      <c r="J163" t="s">
        <v>1074</v>
      </c>
      <c r="L163" s="17"/>
      <c r="M163" s="17"/>
      <c r="N163" s="17"/>
      <c r="O163" s="17"/>
      <c r="P163" s="17"/>
    </row>
    <row r="164" spans="1:16">
      <c r="A164" s="3">
        <v>162</v>
      </c>
      <c r="B164" s="3" t="s">
        <v>1075</v>
      </c>
      <c r="C164" s="21" t="s">
        <v>1076</v>
      </c>
      <c r="D164" t="str">
        <f t="shared" si="3"/>
        <v>JHZMX热交换站照明电源</v>
      </c>
      <c r="J164" t="s">
        <v>1077</v>
      </c>
      <c r="L164" s="17"/>
      <c r="M164" s="17"/>
      <c r="N164" s="17"/>
      <c r="O164" s="17"/>
      <c r="P164" s="17"/>
    </row>
    <row r="165" spans="1:16">
      <c r="A165" s="3">
        <v>163</v>
      </c>
      <c r="B165" s="3" t="s">
        <v>1047</v>
      </c>
      <c r="C165" s="21" t="s">
        <v>1078</v>
      </c>
      <c r="D165" t="str">
        <f t="shared" si="3"/>
        <v>1AL-1矸石仓那照明总电源</v>
      </c>
      <c r="J165" t="s">
        <v>1079</v>
      </c>
      <c r="L165" s="17"/>
      <c r="M165" s="17"/>
      <c r="N165" s="17"/>
      <c r="O165" s="17"/>
      <c r="P165" s="17"/>
    </row>
    <row r="166" spans="1:16">
      <c r="A166" s="3">
        <v>164</v>
      </c>
      <c r="B166" s="3"/>
      <c r="C166" s="21" t="s">
        <v>1080</v>
      </c>
      <c r="D166" t="str">
        <f t="shared" si="3"/>
        <v>控制电源PLCA1</v>
      </c>
      <c r="J166" t="s">
        <v>1081</v>
      </c>
      <c r="L166" s="17"/>
      <c r="M166" s="17"/>
      <c r="N166" s="17"/>
      <c r="O166" s="17"/>
      <c r="P166" s="17"/>
    </row>
    <row r="167" spans="1:16">
      <c r="A167" s="3">
        <v>165</v>
      </c>
      <c r="B167" s="3"/>
      <c r="C167" s="21" t="s">
        <v>1082</v>
      </c>
      <c r="D167" t="str">
        <f t="shared" si="3"/>
        <v>消防泵房电源AA3</v>
      </c>
      <c r="J167" t="s">
        <v>1083</v>
      </c>
      <c r="L167" s="17"/>
      <c r="M167" s="17"/>
      <c r="N167" s="17"/>
      <c r="O167" s="17"/>
      <c r="P167" s="17"/>
    </row>
    <row r="168" spans="1:16">
      <c r="A168" s="3">
        <v>166</v>
      </c>
      <c r="B168" s="3" t="s">
        <v>1084</v>
      </c>
      <c r="C168" s="21" t="s">
        <v>1085</v>
      </c>
      <c r="D168" t="str">
        <f t="shared" si="3"/>
        <v>11AP管状皮带检修电源</v>
      </c>
      <c r="J168" t="s">
        <v>1086</v>
      </c>
      <c r="L168" s="17"/>
      <c r="M168" s="17"/>
      <c r="N168" s="17"/>
      <c r="O168" s="17"/>
      <c r="P168" s="17"/>
    </row>
    <row r="169" spans="1:16">
      <c r="A169" s="3">
        <v>167</v>
      </c>
      <c r="B169" s="3" t="s">
        <v>1069</v>
      </c>
      <c r="C169" s="21" t="s">
        <v>1087</v>
      </c>
      <c r="D169" t="str">
        <f t="shared" si="3"/>
        <v>31WYB消防增压稳压水泵1</v>
      </c>
      <c r="J169" t="s">
        <v>1088</v>
      </c>
      <c r="L169" s="17"/>
      <c r="M169" s="17"/>
      <c r="N169" s="17"/>
      <c r="O169" s="17"/>
      <c r="P169" s="17"/>
    </row>
    <row r="170" spans="1:16">
      <c r="A170" s="3">
        <v>168</v>
      </c>
      <c r="B170" s="3" t="s">
        <v>1089</v>
      </c>
      <c r="C170" s="21" t="s">
        <v>1090</v>
      </c>
      <c r="D170" t="str">
        <f t="shared" si="3"/>
        <v>PSB原煤储煤场消防排水泵</v>
      </c>
      <c r="J170" t="s">
        <v>1091</v>
      </c>
      <c r="L170" s="17"/>
      <c r="M170" s="17"/>
      <c r="N170" s="17"/>
      <c r="O170" s="17"/>
      <c r="P170" s="17"/>
    </row>
    <row r="171" spans="1:16">
      <c r="A171" s="3">
        <v>169</v>
      </c>
      <c r="B171" s="3" t="s">
        <v>1030</v>
      </c>
      <c r="C171" s="21" t="s">
        <v>1092</v>
      </c>
      <c r="D171" t="str">
        <f t="shared" si="3"/>
        <v>1ACL-Z产品仓应激照明总电源1</v>
      </c>
      <c r="J171" t="s">
        <v>1093</v>
      </c>
      <c r="L171" s="17"/>
      <c r="M171" s="17"/>
      <c r="N171" s="17"/>
      <c r="O171" s="17"/>
      <c r="P171" s="17"/>
    </row>
    <row r="172" spans="1:16">
      <c r="A172" s="3">
        <v>170</v>
      </c>
      <c r="B172" s="3" t="s">
        <v>1094</v>
      </c>
      <c r="C172" s="21" t="s">
        <v>1095</v>
      </c>
      <c r="D172" t="str">
        <f t="shared" si="3"/>
        <v>1AL-Z产品仓照明总电源</v>
      </c>
      <c r="J172" t="s">
        <v>1096</v>
      </c>
      <c r="L172" s="17"/>
      <c r="M172" s="17"/>
      <c r="N172" s="17"/>
      <c r="O172" s="17"/>
      <c r="P172" s="17"/>
    </row>
    <row r="173" spans="1:16">
      <c r="A173" s="3">
        <v>171</v>
      </c>
      <c r="B173" s="3" t="s">
        <v>1027</v>
      </c>
      <c r="C173" s="21" t="s">
        <v>1097</v>
      </c>
      <c r="D173" t="str">
        <f t="shared" si="3"/>
        <v>1AP主厂房照明电源1</v>
      </c>
      <c r="J173" t="s">
        <v>1098</v>
      </c>
      <c r="L173" s="17"/>
      <c r="M173" s="17"/>
      <c r="N173" s="17"/>
      <c r="O173" s="17"/>
      <c r="P173" s="17"/>
    </row>
    <row r="174" spans="1:16">
      <c r="A174" s="3">
        <v>172</v>
      </c>
      <c r="B174" s="3" t="s">
        <v>1099</v>
      </c>
      <c r="C174" s="21" t="s">
        <v>1100</v>
      </c>
      <c r="D174" t="str">
        <f t="shared" si="3"/>
        <v>HRJZ2X低区换热机组电源</v>
      </c>
      <c r="J174" t="s">
        <v>1101</v>
      </c>
      <c r="L174" s="17"/>
      <c r="M174" s="17"/>
      <c r="N174" s="17"/>
      <c r="O174" s="17"/>
      <c r="P174" s="17"/>
    </row>
    <row r="175" spans="1:16">
      <c r="A175" s="3">
        <v>173</v>
      </c>
      <c r="B175" s="3" t="s">
        <v>1022</v>
      </c>
      <c r="C175" s="21" t="s">
        <v>1102</v>
      </c>
      <c r="D175" t="str">
        <f t="shared" si="3"/>
        <v>AA1消防泵房电源1</v>
      </c>
      <c r="J175" t="s">
        <v>1103</v>
      </c>
      <c r="L175" s="17"/>
      <c r="M175" s="17"/>
      <c r="N175" s="17"/>
      <c r="O175" s="17"/>
      <c r="P175" s="17"/>
    </row>
    <row r="176" spans="1:16">
      <c r="A176" s="3">
        <v>174</v>
      </c>
      <c r="B176" s="3" t="s">
        <v>1104</v>
      </c>
      <c r="C176" s="21" t="s">
        <v>1105</v>
      </c>
      <c r="D176" t="str">
        <f t="shared" si="3"/>
        <v>11M2X储煤场上照明电源1</v>
      </c>
      <c r="J176" t="s">
        <v>1106</v>
      </c>
      <c r="L176" s="17"/>
      <c r="M176" s="17"/>
      <c r="N176" s="17"/>
      <c r="O176" s="17"/>
      <c r="P176" s="17"/>
    </row>
    <row r="177" spans="1:16">
      <c r="A177" s="3">
        <v>175</v>
      </c>
      <c r="B177" s="3" t="s">
        <v>1107</v>
      </c>
      <c r="C177" s="21" t="s">
        <v>1108</v>
      </c>
      <c r="D177" t="str">
        <f t="shared" si="3"/>
        <v>11M1X储煤场下照明电源1</v>
      </c>
      <c r="J177" t="s">
        <v>1109</v>
      </c>
      <c r="L177" s="17"/>
      <c r="M177" s="17"/>
      <c r="N177" s="17"/>
      <c r="O177" s="17"/>
      <c r="P177" s="17"/>
    </row>
    <row r="178" spans="1:16">
      <c r="A178" s="3">
        <v>176</v>
      </c>
      <c r="B178" s="3" t="s">
        <v>1110</v>
      </c>
      <c r="C178" s="21" t="s">
        <v>1111</v>
      </c>
      <c r="D178" t="str">
        <f t="shared" si="3"/>
        <v>JXCJX机修车间电源1</v>
      </c>
      <c r="J178" t="s">
        <v>1112</v>
      </c>
      <c r="L178" s="17"/>
      <c r="M178" s="17"/>
      <c r="N178" s="17"/>
      <c r="O178" s="17"/>
      <c r="P178" s="17"/>
    </row>
    <row r="179" spans="1:16">
      <c r="A179" s="3">
        <v>177</v>
      </c>
      <c r="B179" s="3" t="s">
        <v>1113</v>
      </c>
      <c r="C179" s="21" t="s">
        <v>727</v>
      </c>
      <c r="D179" t="str">
        <f t="shared" ref="D179:D194" si="4">B179&amp;C179</f>
        <v>YSC雨水沉淀池排水泵</v>
      </c>
      <c r="J179" t="s">
        <v>1114</v>
      </c>
      <c r="L179" s="17"/>
      <c r="M179" s="17"/>
      <c r="N179" s="17"/>
      <c r="O179" s="17"/>
      <c r="P179" s="17"/>
    </row>
    <row r="180" spans="1:16">
      <c r="A180" s="3">
        <v>178</v>
      </c>
      <c r="B180" s="3" t="s">
        <v>744</v>
      </c>
      <c r="C180" s="21" t="s">
        <v>743</v>
      </c>
      <c r="D180" t="str">
        <f t="shared" si="4"/>
        <v>721Z产品仓下闸门液压站</v>
      </c>
      <c r="J180" t="s">
        <v>1115</v>
      </c>
      <c r="L180" s="17" t="s">
        <v>1116</v>
      </c>
      <c r="M180" s="17" t="s">
        <v>1117</v>
      </c>
      <c r="N180" s="17" t="s">
        <v>1118</v>
      </c>
      <c r="O180" s="17" t="s">
        <v>1119</v>
      </c>
      <c r="P180" s="17" t="s">
        <v>1120</v>
      </c>
    </row>
    <row r="181" spans="1:16">
      <c r="A181" s="3">
        <v>179</v>
      </c>
      <c r="B181" s="3" t="s">
        <v>752</v>
      </c>
      <c r="C181" s="21" t="s">
        <v>743</v>
      </c>
      <c r="D181" t="str">
        <f t="shared" si="4"/>
        <v>725Z产品仓下闸门液压站</v>
      </c>
      <c r="J181" t="s">
        <v>1121</v>
      </c>
      <c r="L181" s="17"/>
      <c r="M181" s="17"/>
      <c r="N181" s="17"/>
      <c r="O181" s="17"/>
      <c r="P181" s="17"/>
    </row>
    <row r="182" spans="1:16">
      <c r="A182" s="3">
        <v>180</v>
      </c>
      <c r="B182" s="3" t="s">
        <v>759</v>
      </c>
      <c r="C182" s="21" t="s">
        <v>743</v>
      </c>
      <c r="D182" t="str">
        <f t="shared" si="4"/>
        <v>729Z产品仓下闸门液压站</v>
      </c>
      <c r="J182" t="s">
        <v>1122</v>
      </c>
      <c r="L182" s="17" t="s">
        <v>1123</v>
      </c>
      <c r="M182" s="17" t="s">
        <v>1124</v>
      </c>
      <c r="N182" s="17" t="s">
        <v>1125</v>
      </c>
      <c r="O182" s="17" t="s">
        <v>1126</v>
      </c>
      <c r="P182" s="17" t="s">
        <v>1127</v>
      </c>
    </row>
    <row r="183" spans="1:16">
      <c r="A183" s="3">
        <v>181</v>
      </c>
      <c r="B183" s="3" t="s">
        <v>767</v>
      </c>
      <c r="C183" s="21" t="s">
        <v>743</v>
      </c>
      <c r="D183" t="str">
        <f t="shared" si="4"/>
        <v>733Z产品仓下闸门液压站</v>
      </c>
      <c r="J183" t="s">
        <v>1128</v>
      </c>
      <c r="L183" s="17"/>
      <c r="M183" s="17"/>
      <c r="N183" s="17"/>
      <c r="O183" s="17"/>
      <c r="P183" s="17"/>
    </row>
    <row r="184" spans="1:16">
      <c r="A184" s="3">
        <v>182</v>
      </c>
      <c r="B184" s="3">
        <v>743</v>
      </c>
      <c r="C184" s="21" t="s">
        <v>774</v>
      </c>
      <c r="D184" t="str">
        <f t="shared" si="4"/>
        <v>743产品仓排污泵</v>
      </c>
      <c r="J184" t="s">
        <v>1129</v>
      </c>
      <c r="L184" s="17" t="s">
        <v>1130</v>
      </c>
      <c r="M184" s="17" t="s">
        <v>1131</v>
      </c>
      <c r="N184" s="17" t="s">
        <v>1132</v>
      </c>
      <c r="O184" s="17" t="s">
        <v>1133</v>
      </c>
      <c r="P184" s="17" t="s">
        <v>1134</v>
      </c>
    </row>
    <row r="185" spans="1:16">
      <c r="A185" s="3">
        <v>183</v>
      </c>
      <c r="B185" s="3">
        <v>744</v>
      </c>
      <c r="C185" s="21" t="s">
        <v>782</v>
      </c>
      <c r="D185" t="str">
        <f t="shared" si="4"/>
        <v>744产品仓下排污泵</v>
      </c>
      <c r="J185" t="s">
        <v>1135</v>
      </c>
      <c r="L185" s="17" t="s">
        <v>1136</v>
      </c>
      <c r="M185" s="17" t="s">
        <v>1137</v>
      </c>
      <c r="N185" s="17" t="s">
        <v>1138</v>
      </c>
      <c r="O185" s="17" t="s">
        <v>1139</v>
      </c>
      <c r="P185" s="17" t="s">
        <v>1140</v>
      </c>
    </row>
    <row r="186" spans="1:16">
      <c r="A186" s="3">
        <v>184</v>
      </c>
      <c r="B186" s="3" t="s">
        <v>790</v>
      </c>
      <c r="C186" s="21" t="s">
        <v>370</v>
      </c>
      <c r="D186" t="str">
        <f t="shared" si="4"/>
        <v>721f带式给煤机风扇电机</v>
      </c>
      <c r="J186" t="s">
        <v>1141</v>
      </c>
      <c r="L186" s="17" t="s">
        <v>1142</v>
      </c>
      <c r="M186" s="17" t="s">
        <v>1143</v>
      </c>
      <c r="N186" s="17" t="s">
        <v>1144</v>
      </c>
      <c r="O186" s="17" t="s">
        <v>1145</v>
      </c>
      <c r="P186" s="17" t="s">
        <v>1146</v>
      </c>
    </row>
    <row r="187" spans="1:16">
      <c r="A187" s="3">
        <v>185</v>
      </c>
      <c r="B187" s="3" t="s">
        <v>797</v>
      </c>
      <c r="C187" s="21" t="s">
        <v>370</v>
      </c>
      <c r="D187" t="str">
        <f t="shared" si="4"/>
        <v>722f带式给煤机风扇电机</v>
      </c>
      <c r="J187" t="s">
        <v>1147</v>
      </c>
      <c r="L187" s="17" t="s">
        <v>1148</v>
      </c>
      <c r="M187" s="17" t="s">
        <v>1149</v>
      </c>
      <c r="N187" s="17" t="s">
        <v>1150</v>
      </c>
      <c r="O187" s="17" t="s">
        <v>1151</v>
      </c>
      <c r="P187" s="17" t="s">
        <v>1152</v>
      </c>
    </row>
    <row r="188" spans="1:16">
      <c r="A188" s="3">
        <v>186</v>
      </c>
      <c r="B188" s="3" t="s">
        <v>804</v>
      </c>
      <c r="C188" s="21" t="s">
        <v>370</v>
      </c>
      <c r="D188" t="str">
        <f t="shared" si="4"/>
        <v>723f带式给煤机风扇电机</v>
      </c>
      <c r="J188" t="s">
        <v>1153</v>
      </c>
      <c r="L188" s="17" t="s">
        <v>1154</v>
      </c>
      <c r="M188" s="17" t="s">
        <v>1155</v>
      </c>
      <c r="N188" s="17" t="s">
        <v>1156</v>
      </c>
      <c r="O188" s="17" t="s">
        <v>1157</v>
      </c>
      <c r="P188" s="17" t="s">
        <v>1158</v>
      </c>
    </row>
    <row r="189" spans="1:16">
      <c r="A189" s="3">
        <v>187</v>
      </c>
      <c r="B189" s="3" t="s">
        <v>811</v>
      </c>
      <c r="C189" s="21" t="s">
        <v>370</v>
      </c>
      <c r="D189" t="str">
        <f t="shared" si="4"/>
        <v>724f带式给煤机风扇电机</v>
      </c>
      <c r="J189" t="s">
        <v>1159</v>
      </c>
      <c r="L189" s="17" t="s">
        <v>1160</v>
      </c>
      <c r="M189" s="17" t="s">
        <v>1161</v>
      </c>
      <c r="N189" s="17" t="s">
        <v>1162</v>
      </c>
      <c r="O189" s="17" t="s">
        <v>1163</v>
      </c>
      <c r="P189" s="17" t="s">
        <v>1164</v>
      </c>
    </row>
    <row r="190" spans="1:16">
      <c r="A190" s="3">
        <v>188</v>
      </c>
      <c r="B190" s="3" t="s">
        <v>818</v>
      </c>
      <c r="C190" s="21" t="s">
        <v>370</v>
      </c>
      <c r="D190" t="str">
        <f t="shared" si="4"/>
        <v>725f带式给煤机风扇电机</v>
      </c>
      <c r="J190" t="s">
        <v>1165</v>
      </c>
      <c r="L190" s="17" t="s">
        <v>1166</v>
      </c>
      <c r="M190" s="17" t="s">
        <v>1167</v>
      </c>
      <c r="N190" s="17" t="s">
        <v>1168</v>
      </c>
      <c r="O190" s="17" t="s">
        <v>1169</v>
      </c>
      <c r="P190" s="17" t="s">
        <v>1170</v>
      </c>
    </row>
    <row r="191" spans="1:16">
      <c r="A191" s="3">
        <v>189</v>
      </c>
      <c r="B191" s="3" t="s">
        <v>826</v>
      </c>
      <c r="C191" s="21" t="s">
        <v>370</v>
      </c>
      <c r="D191" t="str">
        <f t="shared" si="4"/>
        <v>726f带式给煤机风扇电机</v>
      </c>
      <c r="J191" t="s">
        <v>1171</v>
      </c>
      <c r="L191" s="17" t="s">
        <v>1172</v>
      </c>
      <c r="M191" s="17" t="s">
        <v>1173</v>
      </c>
      <c r="N191" s="17" t="s">
        <v>1174</v>
      </c>
      <c r="O191" s="17" t="s">
        <v>1175</v>
      </c>
      <c r="P191" s="17" t="s">
        <v>1176</v>
      </c>
    </row>
    <row r="192" spans="1:16">
      <c r="A192" s="3">
        <v>190</v>
      </c>
      <c r="B192" s="3" t="s">
        <v>833</v>
      </c>
      <c r="C192" s="21" t="s">
        <v>370</v>
      </c>
      <c r="D192" t="str">
        <f t="shared" si="4"/>
        <v>727f带式给煤机风扇电机</v>
      </c>
      <c r="J192" t="s">
        <v>1177</v>
      </c>
      <c r="L192" s="17" t="s">
        <v>1178</v>
      </c>
      <c r="M192" s="17" t="s">
        <v>1179</v>
      </c>
      <c r="N192" s="17" t="s">
        <v>1180</v>
      </c>
      <c r="O192" s="17" t="s">
        <v>1181</v>
      </c>
      <c r="P192" s="17" t="s">
        <v>1182</v>
      </c>
    </row>
    <row r="193" spans="1:16">
      <c r="A193" s="3">
        <v>191</v>
      </c>
      <c r="B193" s="3" t="s">
        <v>840</v>
      </c>
      <c r="C193" s="21" t="s">
        <v>370</v>
      </c>
      <c r="D193" t="str">
        <f t="shared" si="4"/>
        <v>728f带式给煤机风扇电机</v>
      </c>
      <c r="J193" t="s">
        <v>1183</v>
      </c>
      <c r="L193" s="17" t="s">
        <v>1184</v>
      </c>
      <c r="M193" s="17" t="s">
        <v>1185</v>
      </c>
      <c r="N193" s="17" t="s">
        <v>1186</v>
      </c>
      <c r="O193" s="17" t="s">
        <v>1187</v>
      </c>
      <c r="P193" s="17" t="s">
        <v>1188</v>
      </c>
    </row>
    <row r="194" spans="1:16">
      <c r="A194" s="3">
        <v>192</v>
      </c>
      <c r="B194" s="3" t="s">
        <v>847</v>
      </c>
      <c r="C194" s="21" t="s">
        <v>370</v>
      </c>
      <c r="D194" t="str">
        <f t="shared" si="4"/>
        <v>729f带式给煤机风扇电机</v>
      </c>
      <c r="J194" t="s">
        <v>1189</v>
      </c>
      <c r="L194" s="17" t="s">
        <v>1190</v>
      </c>
      <c r="M194" s="17" t="s">
        <v>1191</v>
      </c>
      <c r="N194" s="17" t="s">
        <v>1192</v>
      </c>
      <c r="O194" s="17" t="s">
        <v>1193</v>
      </c>
      <c r="P194" s="17" t="s">
        <v>1194</v>
      </c>
    </row>
    <row r="195" spans="1:16">
      <c r="A195" s="3">
        <v>193</v>
      </c>
      <c r="B195" s="3" t="s">
        <v>852</v>
      </c>
      <c r="C195" s="21" t="s">
        <v>370</v>
      </c>
      <c r="D195" t="str">
        <f t="shared" ref="D195:D218" si="5">B195&amp;C195</f>
        <v>730f带式给煤机风扇电机</v>
      </c>
      <c r="J195" t="s">
        <v>1195</v>
      </c>
      <c r="L195" s="17" t="s">
        <v>1196</v>
      </c>
      <c r="M195" s="17" t="s">
        <v>1197</v>
      </c>
      <c r="N195" s="17" t="s">
        <v>1198</v>
      </c>
      <c r="O195" s="17" t="s">
        <v>1199</v>
      </c>
      <c r="P195" s="17" t="s">
        <v>1200</v>
      </c>
    </row>
    <row r="196" spans="1:16">
      <c r="A196" s="3">
        <v>194</v>
      </c>
      <c r="B196" s="3" t="s">
        <v>861</v>
      </c>
      <c r="C196" s="21" t="s">
        <v>370</v>
      </c>
      <c r="D196" t="str">
        <f t="shared" si="5"/>
        <v>731f带式给煤机风扇电机</v>
      </c>
      <c r="J196" t="s">
        <v>1201</v>
      </c>
      <c r="L196" s="17" t="s">
        <v>1202</v>
      </c>
      <c r="M196" s="17" t="s">
        <v>1203</v>
      </c>
      <c r="N196" s="17" t="s">
        <v>1204</v>
      </c>
      <c r="O196" s="17" t="s">
        <v>1205</v>
      </c>
      <c r="P196" s="17" t="s">
        <v>1206</v>
      </c>
    </row>
    <row r="197" spans="1:16">
      <c r="A197" s="3">
        <v>195</v>
      </c>
      <c r="B197" s="3" t="s">
        <v>867</v>
      </c>
      <c r="C197" s="21" t="s">
        <v>370</v>
      </c>
      <c r="D197" t="str">
        <f t="shared" si="5"/>
        <v>732f带式给煤机风扇电机</v>
      </c>
      <c r="J197" t="s">
        <v>1207</v>
      </c>
      <c r="L197" s="17" t="s">
        <v>1208</v>
      </c>
      <c r="M197" s="17" t="s">
        <v>1209</v>
      </c>
      <c r="N197" s="17" t="s">
        <v>1210</v>
      </c>
      <c r="O197" s="17" t="s">
        <v>1211</v>
      </c>
      <c r="P197" s="17" t="s">
        <v>1212</v>
      </c>
    </row>
    <row r="198" spans="1:16">
      <c r="A198" s="3">
        <v>196</v>
      </c>
      <c r="B198" s="3" t="s">
        <v>1213</v>
      </c>
      <c r="C198" s="21" t="s">
        <v>370</v>
      </c>
      <c r="D198" t="str">
        <f t="shared" si="5"/>
        <v>733f带式给煤机风扇电机</v>
      </c>
      <c r="J198" t="s">
        <v>1214</v>
      </c>
      <c r="L198" s="17" t="s">
        <v>1215</v>
      </c>
      <c r="M198" s="17" t="s">
        <v>1216</v>
      </c>
      <c r="N198" s="17" t="s">
        <v>1217</v>
      </c>
      <c r="O198" s="17" t="s">
        <v>1218</v>
      </c>
      <c r="P198" s="17" t="s">
        <v>1219</v>
      </c>
    </row>
    <row r="199" spans="1:16">
      <c r="A199" s="3">
        <v>197</v>
      </c>
      <c r="B199" s="3" t="s">
        <v>874</v>
      </c>
      <c r="C199" s="21" t="s">
        <v>370</v>
      </c>
      <c r="D199" t="str">
        <f t="shared" si="5"/>
        <v>734f带式给煤机风扇电机</v>
      </c>
      <c r="J199" t="s">
        <v>1220</v>
      </c>
      <c r="L199" s="17" t="s">
        <v>1221</v>
      </c>
      <c r="M199" s="17" t="s">
        <v>1222</v>
      </c>
      <c r="N199" s="17" t="s">
        <v>1223</v>
      </c>
      <c r="O199" s="17" t="s">
        <v>1224</v>
      </c>
      <c r="P199" s="17" t="s">
        <v>1225</v>
      </c>
    </row>
    <row r="200" spans="1:16">
      <c r="A200" s="3">
        <v>198</v>
      </c>
      <c r="B200" s="3" t="s">
        <v>882</v>
      </c>
      <c r="C200" s="21" t="s">
        <v>370</v>
      </c>
      <c r="D200" t="str">
        <f t="shared" si="5"/>
        <v>735f带式给煤机风扇电机</v>
      </c>
      <c r="J200" t="s">
        <v>1226</v>
      </c>
      <c r="L200" s="17" t="s">
        <v>1227</v>
      </c>
      <c r="M200" s="17" t="s">
        <v>1228</v>
      </c>
      <c r="N200" s="17" t="s">
        <v>1229</v>
      </c>
      <c r="O200" s="17" t="s">
        <v>1230</v>
      </c>
      <c r="P200" s="17" t="s">
        <v>1231</v>
      </c>
    </row>
    <row r="201" spans="1:16">
      <c r="A201" s="3">
        <v>199</v>
      </c>
      <c r="B201" s="3" t="s">
        <v>890</v>
      </c>
      <c r="C201" s="21" t="s">
        <v>370</v>
      </c>
      <c r="D201" t="str">
        <f t="shared" si="5"/>
        <v>736f带式给煤机风扇电机</v>
      </c>
      <c r="J201" t="s">
        <v>1232</v>
      </c>
      <c r="L201" s="17" t="s">
        <v>1233</v>
      </c>
      <c r="M201" s="17" t="s">
        <v>1233</v>
      </c>
      <c r="N201" s="17" t="s">
        <v>1234</v>
      </c>
      <c r="O201" s="17" t="s">
        <v>1235</v>
      </c>
      <c r="P201" s="17" t="s">
        <v>1236</v>
      </c>
    </row>
    <row r="202" spans="1:16">
      <c r="A202" s="3">
        <v>200</v>
      </c>
      <c r="B202" s="3" t="s">
        <v>896</v>
      </c>
      <c r="C202" s="21" t="s">
        <v>370</v>
      </c>
      <c r="D202" t="str">
        <f t="shared" si="5"/>
        <v>737f带式给煤机风扇电机</v>
      </c>
      <c r="J202" t="s">
        <v>1237</v>
      </c>
      <c r="L202" s="17"/>
      <c r="M202" s="17"/>
      <c r="N202" s="17"/>
      <c r="O202" s="17"/>
      <c r="P202" s="17"/>
    </row>
    <row r="203" spans="1:16">
      <c r="A203" s="3">
        <v>201</v>
      </c>
      <c r="B203" s="3">
        <v>721</v>
      </c>
      <c r="C203" s="21" t="s">
        <v>903</v>
      </c>
      <c r="D203" t="str">
        <f t="shared" si="5"/>
        <v>721产品仓下带式给煤机</v>
      </c>
      <c r="J203" t="s">
        <v>1238</v>
      </c>
      <c r="L203" s="17" t="s">
        <v>1239</v>
      </c>
      <c r="M203" s="17" t="s">
        <v>1240</v>
      </c>
      <c r="N203" s="17" t="s">
        <v>1241</v>
      </c>
      <c r="O203" s="17" t="s">
        <v>1242</v>
      </c>
      <c r="P203" s="17" t="s">
        <v>1243</v>
      </c>
    </row>
    <row r="204" spans="1:16">
      <c r="A204" s="3">
        <v>202</v>
      </c>
      <c r="B204" s="3">
        <v>722</v>
      </c>
      <c r="C204" s="21" t="s">
        <v>903</v>
      </c>
      <c r="D204" t="str">
        <f t="shared" si="5"/>
        <v>722产品仓下带式给煤机</v>
      </c>
      <c r="J204" t="s">
        <v>1244</v>
      </c>
      <c r="L204" s="17" t="s">
        <v>1245</v>
      </c>
      <c r="M204" s="17" t="s">
        <v>1246</v>
      </c>
      <c r="N204" s="17" t="s">
        <v>1247</v>
      </c>
      <c r="O204" s="17" t="s">
        <v>1248</v>
      </c>
      <c r="P204" s="17" t="s">
        <v>1249</v>
      </c>
    </row>
    <row r="205" spans="1:16">
      <c r="A205" s="3">
        <v>203</v>
      </c>
      <c r="B205" s="3">
        <v>723</v>
      </c>
      <c r="C205" s="21" t="s">
        <v>903</v>
      </c>
      <c r="D205" t="str">
        <f t="shared" si="5"/>
        <v>723产品仓下带式给煤机</v>
      </c>
      <c r="J205" t="s">
        <v>1250</v>
      </c>
      <c r="L205" s="17" t="s">
        <v>1251</v>
      </c>
      <c r="M205" s="17" t="s">
        <v>1252</v>
      </c>
      <c r="N205" s="17" t="s">
        <v>1253</v>
      </c>
      <c r="O205" s="17" t="s">
        <v>1254</v>
      </c>
      <c r="P205" s="17" t="s">
        <v>1255</v>
      </c>
    </row>
    <row r="206" spans="1:16">
      <c r="A206" s="3">
        <v>204</v>
      </c>
      <c r="B206" s="3">
        <v>724</v>
      </c>
      <c r="C206" s="21" t="s">
        <v>903</v>
      </c>
      <c r="D206" t="str">
        <f t="shared" si="5"/>
        <v>724产品仓下带式给煤机</v>
      </c>
      <c r="J206" t="s">
        <v>1256</v>
      </c>
      <c r="L206" s="17" t="s">
        <v>1257</v>
      </c>
      <c r="M206" s="17" t="s">
        <v>1258</v>
      </c>
      <c r="N206" s="17" t="s">
        <v>1259</v>
      </c>
      <c r="O206" s="17" t="s">
        <v>1260</v>
      </c>
      <c r="P206" s="17" t="s">
        <v>1261</v>
      </c>
    </row>
    <row r="207" spans="1:16">
      <c r="A207" s="3">
        <v>205</v>
      </c>
      <c r="B207" s="3">
        <v>725</v>
      </c>
      <c r="C207" s="21" t="s">
        <v>903</v>
      </c>
      <c r="D207" t="str">
        <f t="shared" si="5"/>
        <v>725产品仓下带式给煤机</v>
      </c>
      <c r="J207" t="s">
        <v>1262</v>
      </c>
      <c r="L207" s="17" t="s">
        <v>1263</v>
      </c>
      <c r="M207" s="17" t="s">
        <v>1264</v>
      </c>
      <c r="N207" s="17" t="s">
        <v>1265</v>
      </c>
      <c r="O207" s="17" t="s">
        <v>1266</v>
      </c>
      <c r="P207" s="17" t="s">
        <v>1267</v>
      </c>
    </row>
    <row r="208" spans="1:16">
      <c r="A208" s="3">
        <v>206</v>
      </c>
      <c r="B208" s="3">
        <v>726</v>
      </c>
      <c r="C208" s="21" t="s">
        <v>903</v>
      </c>
      <c r="D208" t="str">
        <f t="shared" si="5"/>
        <v>726产品仓下带式给煤机</v>
      </c>
      <c r="J208" t="s">
        <v>1268</v>
      </c>
      <c r="L208" s="17" t="s">
        <v>1269</v>
      </c>
      <c r="M208" s="17" t="s">
        <v>1269</v>
      </c>
      <c r="N208" s="17" t="s">
        <v>1270</v>
      </c>
      <c r="O208" s="17" t="s">
        <v>1271</v>
      </c>
      <c r="P208" s="17" t="s">
        <v>1272</v>
      </c>
    </row>
    <row r="209" spans="1:16">
      <c r="A209" s="3">
        <v>207</v>
      </c>
      <c r="B209" s="3">
        <v>727</v>
      </c>
      <c r="C209" s="21" t="s">
        <v>903</v>
      </c>
      <c r="D209" t="str">
        <f t="shared" si="5"/>
        <v>727产品仓下带式给煤机</v>
      </c>
      <c r="J209" t="s">
        <v>1273</v>
      </c>
      <c r="L209" s="17" t="s">
        <v>1274</v>
      </c>
      <c r="M209" s="17" t="s">
        <v>1275</v>
      </c>
      <c r="N209" s="17" t="s">
        <v>1276</v>
      </c>
      <c r="O209" s="17" t="s">
        <v>1277</v>
      </c>
      <c r="P209" s="17" t="s">
        <v>1278</v>
      </c>
    </row>
    <row r="210" spans="1:16">
      <c r="A210" s="3">
        <v>208</v>
      </c>
      <c r="B210" s="3">
        <v>728</v>
      </c>
      <c r="C210" s="21" t="s">
        <v>903</v>
      </c>
      <c r="D210" t="str">
        <f t="shared" si="5"/>
        <v>728产品仓下带式给煤机</v>
      </c>
      <c r="J210" t="s">
        <v>1279</v>
      </c>
      <c r="L210" s="17" t="s">
        <v>1280</v>
      </c>
      <c r="M210" s="17" t="s">
        <v>1281</v>
      </c>
      <c r="N210" s="17" t="s">
        <v>1282</v>
      </c>
      <c r="O210" s="17" t="s">
        <v>1283</v>
      </c>
      <c r="P210" s="17" t="s">
        <v>1284</v>
      </c>
    </row>
    <row r="211" spans="1:16">
      <c r="A211" s="3">
        <v>209</v>
      </c>
      <c r="B211" s="3">
        <v>729</v>
      </c>
      <c r="C211" s="21" t="s">
        <v>903</v>
      </c>
      <c r="D211" t="str">
        <f t="shared" si="5"/>
        <v>729产品仓下带式给煤机</v>
      </c>
      <c r="J211" t="s">
        <v>1285</v>
      </c>
      <c r="L211" s="17" t="s">
        <v>1286</v>
      </c>
      <c r="M211" s="17" t="s">
        <v>1287</v>
      </c>
      <c r="N211" s="17" t="s">
        <v>1288</v>
      </c>
      <c r="O211" s="17" t="s">
        <v>1289</v>
      </c>
      <c r="P211" s="17" t="s">
        <v>1290</v>
      </c>
    </row>
    <row r="212" spans="1:16">
      <c r="A212" s="3">
        <v>210</v>
      </c>
      <c r="B212" s="3">
        <v>730</v>
      </c>
      <c r="C212" s="21" t="s">
        <v>903</v>
      </c>
      <c r="D212" t="str">
        <f t="shared" si="5"/>
        <v>730产品仓下带式给煤机</v>
      </c>
      <c r="J212" t="s">
        <v>1291</v>
      </c>
      <c r="L212" s="17" t="s">
        <v>1292</v>
      </c>
      <c r="M212" s="17" t="s">
        <v>1293</v>
      </c>
      <c r="N212" s="17" t="s">
        <v>1294</v>
      </c>
      <c r="O212" s="17" t="s">
        <v>1295</v>
      </c>
      <c r="P212" s="17" t="s">
        <v>1296</v>
      </c>
    </row>
    <row r="213" spans="1:16">
      <c r="A213" s="3">
        <v>211</v>
      </c>
      <c r="B213" s="3">
        <v>731</v>
      </c>
      <c r="C213" s="21" t="s">
        <v>903</v>
      </c>
      <c r="D213" t="str">
        <f t="shared" si="5"/>
        <v>731产品仓下带式给煤机</v>
      </c>
      <c r="J213" t="s">
        <v>1297</v>
      </c>
      <c r="L213" s="17" t="s">
        <v>1298</v>
      </c>
      <c r="M213" s="17" t="s">
        <v>1299</v>
      </c>
      <c r="N213" s="17" t="s">
        <v>1300</v>
      </c>
      <c r="O213" s="17" t="s">
        <v>1301</v>
      </c>
      <c r="P213" s="17" t="s">
        <v>1302</v>
      </c>
    </row>
    <row r="214" spans="1:16">
      <c r="A214" s="3">
        <v>212</v>
      </c>
      <c r="B214" s="3">
        <v>732</v>
      </c>
      <c r="C214" s="21" t="s">
        <v>903</v>
      </c>
      <c r="D214" t="str">
        <f t="shared" si="5"/>
        <v>732产品仓下带式给煤机</v>
      </c>
      <c r="J214" t="s">
        <v>1303</v>
      </c>
      <c r="L214" s="17" t="s">
        <v>1304</v>
      </c>
      <c r="M214" s="17" t="s">
        <v>1305</v>
      </c>
      <c r="N214" s="17" t="s">
        <v>1306</v>
      </c>
      <c r="O214" s="17" t="s">
        <v>1307</v>
      </c>
      <c r="P214" s="17" t="s">
        <v>1308</v>
      </c>
    </row>
    <row r="215" spans="1:16">
      <c r="A215" s="3">
        <v>213</v>
      </c>
      <c r="B215" s="3">
        <v>733</v>
      </c>
      <c r="C215" s="21" t="s">
        <v>903</v>
      </c>
      <c r="D215" t="str">
        <f t="shared" si="5"/>
        <v>733产品仓下带式给煤机</v>
      </c>
      <c r="J215" t="s">
        <v>1309</v>
      </c>
      <c r="L215" s="17" t="s">
        <v>1310</v>
      </c>
      <c r="M215" s="17" t="s">
        <v>1311</v>
      </c>
      <c r="N215" s="17" t="s">
        <v>1312</v>
      </c>
      <c r="O215" s="17" t="s">
        <v>1313</v>
      </c>
      <c r="P215" s="17" t="s">
        <v>1314</v>
      </c>
    </row>
    <row r="216" spans="1:16">
      <c r="A216" s="3">
        <v>214</v>
      </c>
      <c r="B216" s="3">
        <v>734</v>
      </c>
      <c r="C216" s="21" t="s">
        <v>903</v>
      </c>
      <c r="D216" t="str">
        <f t="shared" si="5"/>
        <v>734产品仓下带式给煤机</v>
      </c>
      <c r="J216" t="s">
        <v>1315</v>
      </c>
      <c r="L216" s="17" t="s">
        <v>1316</v>
      </c>
      <c r="M216" s="17" t="s">
        <v>1317</v>
      </c>
      <c r="N216" s="17" t="s">
        <v>1318</v>
      </c>
      <c r="O216" s="17" t="s">
        <v>1319</v>
      </c>
      <c r="P216" s="17" t="s">
        <v>1320</v>
      </c>
    </row>
    <row r="217" spans="1:16">
      <c r="A217" s="3">
        <v>215</v>
      </c>
      <c r="B217" s="3">
        <v>735</v>
      </c>
      <c r="C217" s="21" t="s">
        <v>903</v>
      </c>
      <c r="D217" t="str">
        <f t="shared" si="5"/>
        <v>735产品仓下带式给煤机</v>
      </c>
      <c r="J217" t="s">
        <v>1321</v>
      </c>
      <c r="L217" s="17" t="s">
        <v>1322</v>
      </c>
      <c r="M217" s="17" t="s">
        <v>1323</v>
      </c>
      <c r="N217" s="17" t="s">
        <v>1324</v>
      </c>
      <c r="O217" s="17" t="s">
        <v>1325</v>
      </c>
      <c r="P217" s="17" t="s">
        <v>1326</v>
      </c>
    </row>
    <row r="218" spans="1:16">
      <c r="A218" s="3">
        <v>216</v>
      </c>
      <c r="B218" s="3">
        <v>736</v>
      </c>
      <c r="C218" s="21" t="s">
        <v>903</v>
      </c>
      <c r="D218" t="str">
        <f t="shared" si="5"/>
        <v>736产品仓下带式给煤机</v>
      </c>
      <c r="J218" t="s">
        <v>1327</v>
      </c>
      <c r="L218" s="17" t="s">
        <v>1328</v>
      </c>
      <c r="M218" s="17" t="s">
        <v>1329</v>
      </c>
      <c r="N218" s="17" t="s">
        <v>1330</v>
      </c>
      <c r="O218" s="17" t="s">
        <v>1331</v>
      </c>
      <c r="P218" s="17" t="s">
        <v>1332</v>
      </c>
    </row>
  </sheetData>
  <mergeCells count="1">
    <mergeCell ref="B2:C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D2:I20"/>
  <sheetViews>
    <sheetView workbookViewId="0">
      <selection activeCell="D23" sqref="D23"/>
    </sheetView>
  </sheetViews>
  <sheetFormatPr defaultColWidth="8.72727272727273" defaultRowHeight="14"/>
  <cols>
    <col min="4" max="4" width="43.2727272727273" customWidth="1"/>
    <col min="5" max="5" width="15.5454545454545" customWidth="1"/>
    <col min="6" max="6" width="24.7272727272727" customWidth="1"/>
    <col min="7" max="7" width="16.8181818181818" customWidth="1"/>
    <col min="8" max="8" width="13.4545454545455" customWidth="1"/>
  </cols>
  <sheetData>
    <row r="2" spans="4:8">
      <c r="D2" t="s">
        <v>1333</v>
      </c>
      <c r="E2" t="s">
        <v>1334</v>
      </c>
      <c r="F2" t="s">
        <v>1335</v>
      </c>
    </row>
    <row r="3" spans="4:8">
      <c r="D3" t="s">
        <v>1336</v>
      </c>
      <c r="E3" t="s">
        <v>1337</v>
      </c>
      <c r="F3" t="s">
        <v>1335</v>
      </c>
    </row>
    <row r="4" spans="4:8">
      <c r="D4" t="s">
        <v>1338</v>
      </c>
      <c r="E4" t="s">
        <v>1339</v>
      </c>
      <c r="F4" t="s">
        <v>1335</v>
      </c>
    </row>
    <row r="5" ht="15" spans="4:8">
      <c r="D5" t="s">
        <v>1340</v>
      </c>
      <c r="G5" s="7">
        <v>404</v>
      </c>
      <c r="H5" t="s">
        <v>1341</v>
      </c>
    </row>
    <row r="6" ht="15" spans="4:8">
      <c r="D6" t="s">
        <v>1342</v>
      </c>
      <c r="G6" s="7">
        <v>301</v>
      </c>
      <c r="H6" t="s">
        <v>1341</v>
      </c>
    </row>
    <row r="7" ht="15" spans="4:8">
      <c r="D7" t="s">
        <v>1343</v>
      </c>
      <c r="G7" s="7">
        <v>121</v>
      </c>
      <c r="H7" t="s">
        <v>1341</v>
      </c>
    </row>
    <row r="8" ht="15" spans="4:8">
      <c r="D8" t="s">
        <v>1344</v>
      </c>
      <c r="G8" s="7">
        <v>141</v>
      </c>
      <c r="H8" t="s">
        <v>1341</v>
      </c>
    </row>
    <row r="9" spans="4:8">
      <c r="D9" t="s">
        <v>1345</v>
      </c>
      <c r="G9" t="s">
        <v>1334</v>
      </c>
      <c r="H9" s="15" t="s">
        <v>12</v>
      </c>
    </row>
    <row r="10" spans="4:8">
      <c r="D10" t="s">
        <v>1346</v>
      </c>
      <c r="G10" t="s">
        <v>1337</v>
      </c>
      <c r="H10" s="17" t="s">
        <v>22</v>
      </c>
    </row>
    <row r="11" spans="4:8">
      <c r="G11" t="s">
        <v>1339</v>
      </c>
      <c r="H11" s="17" t="s">
        <v>32</v>
      </c>
    </row>
    <row r="13" spans="4:8">
      <c r="D13" t="s">
        <v>1347</v>
      </c>
    </row>
    <row r="14" ht="15" spans="4:8">
      <c r="D14" t="s">
        <v>1348</v>
      </c>
      <c r="G14" s="7">
        <v>404</v>
      </c>
      <c r="H14" t="s">
        <v>7</v>
      </c>
    </row>
    <row r="15" ht="15" spans="4:8">
      <c r="D15" t="s">
        <v>1349</v>
      </c>
      <c r="G15" s="7">
        <v>301</v>
      </c>
      <c r="H15" t="s">
        <v>7</v>
      </c>
    </row>
    <row r="16" ht="15" spans="4:8">
      <c r="G16" s="7">
        <v>121</v>
      </c>
      <c r="H16" t="s">
        <v>7</v>
      </c>
    </row>
    <row r="17" ht="15" spans="7:9">
      <c r="G17" s="7">
        <v>141</v>
      </c>
      <c r="H17" t="s">
        <v>7</v>
      </c>
    </row>
    <row r="18" spans="7:9">
      <c r="G18" t="s">
        <v>1350</v>
      </c>
      <c r="I18" t="s">
        <v>1351</v>
      </c>
    </row>
    <row r="19" spans="7:9">
      <c r="G19" t="s">
        <v>1352</v>
      </c>
      <c r="I19" t="s">
        <v>1353</v>
      </c>
    </row>
    <row r="20" spans="7:9">
      <c r="G20" t="s">
        <v>1354</v>
      </c>
      <c r="I20" t="s">
        <v>1355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8"/>
  <sheetViews>
    <sheetView topLeftCell="A2" workbookViewId="0">
      <pane ySplit="1" topLeftCell="A191" activePane="bottomLeft" state="frozen"/>
      <selection/>
      <selection pane="bottomLeft" activeCell="N168" sqref="N168"/>
    </sheetView>
  </sheetViews>
  <sheetFormatPr defaultColWidth="9" defaultRowHeight="14"/>
  <cols>
    <col min="1" max="1" width="30.8181818181818" customWidth="1"/>
    <col min="2" max="2" width="9" style="1"/>
    <col min="3" max="3" width="22.5454545454545" style="1" hidden="1" customWidth="1"/>
    <col min="4" max="4" width="39.7272727272727" style="5" hidden="1" customWidth="1"/>
    <col min="5" max="5" width="39.1818181818182" hidden="1" customWidth="1"/>
    <col min="6" max="6" width="9" hidden="1" customWidth="1"/>
    <col min="7" max="7" width="25.8181818181818" hidden="1" customWidth="1"/>
    <col min="8" max="10" width="9" hidden="1" customWidth="1"/>
    <col min="11" max="11" width="13.2727272727273" hidden="1" customWidth="1"/>
    <col min="12" max="12" width="9" hidden="1" customWidth="1"/>
    <col min="13" max="13" width="12.7272727272727" customWidth="1"/>
    <col min="14" max="15" width="16.6363636363636" customWidth="1"/>
    <col min="18" max="18" width="11.8181818181818" customWidth="1"/>
    <col min="19" max="19" width="36" customWidth="1"/>
    <col min="20" max="20" width="9" style="6"/>
    <col min="25" max="25" width="18.4545454545455" customWidth="1"/>
    <col min="31" max="31" width="17.3636363636364" customWidth="1"/>
    <col min="32" max="33" width="16.8181818181818" customWidth="1"/>
    <col min="35" max="35" width="15.4545454545455" customWidth="1"/>
  </cols>
  <sheetData>
    <row r="1" customFormat="1" ht="35" hidden="1" customHeight="1" spans="1:24">
      <c r="B1" s="3"/>
      <c r="C1" s="7" t="s">
        <v>0</v>
      </c>
      <c r="D1" s="7" t="s">
        <v>1</v>
      </c>
      <c r="T1" s="6"/>
    </row>
    <row r="2" customFormat="1" ht="25" customHeight="1" spans="1:24">
      <c r="B2" s="8" t="s">
        <v>2</v>
      </c>
      <c r="C2" s="9" t="s">
        <v>3</v>
      </c>
      <c r="D2" s="10"/>
      <c r="E2" s="11"/>
      <c r="F2" s="11"/>
      <c r="G2" s="11"/>
      <c r="H2" s="11"/>
      <c r="I2" s="11"/>
      <c r="J2" s="11"/>
      <c r="K2" s="11"/>
      <c r="L2" s="11"/>
      <c r="M2" s="8" t="s">
        <v>1356</v>
      </c>
      <c r="N2" s="8" t="s">
        <v>1357</v>
      </c>
      <c r="O2" s="8" t="s">
        <v>1358</v>
      </c>
      <c r="P2" s="8" t="s">
        <v>1359</v>
      </c>
      <c r="Q2" s="8" t="s">
        <v>1360</v>
      </c>
      <c r="T2" s="6" t="s">
        <v>1361</v>
      </c>
      <c r="U2" t="s">
        <v>1362</v>
      </c>
      <c r="V2" t="s">
        <v>1363</v>
      </c>
      <c r="W2" t="s">
        <v>1364</v>
      </c>
      <c r="X2" t="s">
        <v>1365</v>
      </c>
    </row>
    <row r="3" customFormat="1" ht="15" customHeight="1" spans="1:24">
      <c r="A3" t="s">
        <v>10</v>
      </c>
      <c r="B3" s="3">
        <v>1</v>
      </c>
      <c r="C3" s="7">
        <v>404</v>
      </c>
      <c r="D3" s="12" t="s">
        <v>9</v>
      </c>
      <c r="E3" t="s">
        <v>10</v>
      </c>
      <c r="G3" s="13" t="s">
        <v>9</v>
      </c>
      <c r="H3" s="14">
        <v>404</v>
      </c>
      <c r="K3" t="s">
        <v>11</v>
      </c>
      <c r="M3" s="15" t="s">
        <v>12</v>
      </c>
      <c r="N3" s="16" t="s">
        <v>13</v>
      </c>
      <c r="O3" s="17" t="s">
        <v>14</v>
      </c>
      <c r="P3" s="15" t="s">
        <v>15</v>
      </c>
      <c r="Q3" s="15" t="s">
        <v>16</v>
      </c>
      <c r="T3" s="18" t="s">
        <v>1366</v>
      </c>
      <c r="U3" s="19" t="s">
        <v>1367</v>
      </c>
      <c r="V3" s="20" t="s">
        <v>1368</v>
      </c>
      <c r="W3" s="18" t="s">
        <v>1369</v>
      </c>
      <c r="X3" s="18" t="s">
        <v>1370</v>
      </c>
    </row>
    <row r="4" customFormat="1" ht="15" customHeight="1" spans="1:24">
      <c r="A4" t="s">
        <v>18</v>
      </c>
      <c r="B4" s="3">
        <v>2</v>
      </c>
      <c r="C4" s="7">
        <v>301</v>
      </c>
      <c r="D4" s="21" t="s">
        <v>17</v>
      </c>
      <c r="E4" t="s">
        <v>18</v>
      </c>
      <c r="G4" s="22" t="s">
        <v>19</v>
      </c>
      <c r="H4" s="14" t="s">
        <v>20</v>
      </c>
      <c r="K4" t="s">
        <v>21</v>
      </c>
      <c r="M4" s="17" t="s">
        <v>22</v>
      </c>
      <c r="N4" s="23" t="s">
        <v>23</v>
      </c>
      <c r="O4" s="23" t="s">
        <v>24</v>
      </c>
      <c r="P4" s="17" t="s">
        <v>25</v>
      </c>
      <c r="Q4" s="17" t="s">
        <v>26</v>
      </c>
      <c r="T4" s="20" t="s">
        <v>1371</v>
      </c>
      <c r="U4" s="24" t="s">
        <v>1372</v>
      </c>
      <c r="V4" s="24" t="s">
        <v>1373</v>
      </c>
      <c r="W4" s="20" t="s">
        <v>1374</v>
      </c>
      <c r="X4" s="20" t="s">
        <v>1375</v>
      </c>
    </row>
    <row r="5" customFormat="1" ht="15" customHeight="1" spans="1:24">
      <c r="A5" t="s">
        <v>28</v>
      </c>
      <c r="B5" s="3">
        <v>3</v>
      </c>
      <c r="C5" s="7">
        <v>121</v>
      </c>
      <c r="D5" s="21" t="s">
        <v>27</v>
      </c>
      <c r="E5" t="s">
        <v>28</v>
      </c>
      <c r="G5" s="25" t="s">
        <v>29</v>
      </c>
      <c r="H5" s="14" t="s">
        <v>30</v>
      </c>
      <c r="K5" t="s">
        <v>31</v>
      </c>
      <c r="M5" s="17" t="s">
        <v>32</v>
      </c>
      <c r="N5" s="23" t="s">
        <v>33</v>
      </c>
      <c r="O5" s="23" t="s">
        <v>34</v>
      </c>
      <c r="P5" s="17" t="s">
        <v>35</v>
      </c>
      <c r="Q5" s="17" t="s">
        <v>36</v>
      </c>
      <c r="T5" s="20" t="s">
        <v>1376</v>
      </c>
      <c r="U5" s="24" t="s">
        <v>1377</v>
      </c>
      <c r="V5" s="24" t="s">
        <v>1378</v>
      </c>
      <c r="W5" s="20" t="s">
        <v>1379</v>
      </c>
      <c r="X5" s="20" t="s">
        <v>1380</v>
      </c>
    </row>
    <row r="6" customFormat="1" ht="15" customHeight="1" spans="1:24">
      <c r="A6" t="s">
        <v>38</v>
      </c>
      <c r="B6" s="3">
        <v>4</v>
      </c>
      <c r="C6" s="7">
        <v>141</v>
      </c>
      <c r="D6" s="21" t="s">
        <v>37</v>
      </c>
      <c r="E6" t="s">
        <v>38</v>
      </c>
      <c r="G6" s="25" t="s">
        <v>39</v>
      </c>
      <c r="H6" s="14" t="s">
        <v>40</v>
      </c>
      <c r="K6" t="s">
        <v>41</v>
      </c>
      <c r="M6" s="17" t="s">
        <v>42</v>
      </c>
      <c r="N6" s="17" t="s">
        <v>43</v>
      </c>
      <c r="O6" s="17" t="s">
        <v>44</v>
      </c>
      <c r="P6" s="17" t="s">
        <v>45</v>
      </c>
      <c r="Q6" s="17" t="s">
        <v>46</v>
      </c>
      <c r="T6" s="20" t="s">
        <v>1381</v>
      </c>
      <c r="U6" s="20" t="s">
        <v>1382</v>
      </c>
      <c r="V6" s="20" t="s">
        <v>1383</v>
      </c>
      <c r="W6" s="20" t="s">
        <v>1384</v>
      </c>
      <c r="X6" s="20" t="s">
        <v>1385</v>
      </c>
    </row>
    <row r="7" customFormat="1" ht="15" customHeight="1" spans="1:24">
      <c r="A7" t="s">
        <v>47</v>
      </c>
      <c r="B7" s="3">
        <v>5</v>
      </c>
      <c r="C7" s="7" t="s">
        <v>20</v>
      </c>
      <c r="D7" s="21" t="s">
        <v>19</v>
      </c>
      <c r="E7" t="s">
        <v>47</v>
      </c>
      <c r="G7" s="22" t="s">
        <v>48</v>
      </c>
      <c r="H7" s="14" t="s">
        <v>49</v>
      </c>
      <c r="K7" t="s">
        <v>50</v>
      </c>
      <c r="M7" s="17" t="s">
        <v>51</v>
      </c>
      <c r="N7" s="17" t="s">
        <v>52</v>
      </c>
      <c r="O7" s="23" t="s">
        <v>53</v>
      </c>
      <c r="P7" s="17" t="s">
        <v>54</v>
      </c>
      <c r="Q7" s="17" t="s">
        <v>55</v>
      </c>
      <c r="T7" s="20" t="s">
        <v>1379</v>
      </c>
      <c r="U7" s="20" t="s">
        <v>1375</v>
      </c>
      <c r="V7" s="24" t="s">
        <v>1386</v>
      </c>
      <c r="W7" s="20" t="s">
        <v>1387</v>
      </c>
      <c r="X7" s="20" t="s">
        <v>1388</v>
      </c>
    </row>
    <row r="8" customFormat="1" ht="15" customHeight="1" spans="1:24">
      <c r="A8" t="s">
        <v>57</v>
      </c>
      <c r="B8" s="3">
        <v>6</v>
      </c>
      <c r="C8" s="7" t="s">
        <v>30</v>
      </c>
      <c r="D8" s="21" t="s">
        <v>56</v>
      </c>
      <c r="E8" t="s">
        <v>57</v>
      </c>
      <c r="G8" s="25" t="s">
        <v>58</v>
      </c>
      <c r="H8" s="14" t="s">
        <v>59</v>
      </c>
      <c r="K8" t="s">
        <v>60</v>
      </c>
      <c r="M8" s="17" t="s">
        <v>61</v>
      </c>
      <c r="N8" s="17" t="s">
        <v>62</v>
      </c>
      <c r="O8" s="17" t="s">
        <v>63</v>
      </c>
      <c r="P8" s="17" t="s">
        <v>64</v>
      </c>
      <c r="Q8" s="17" t="s">
        <v>65</v>
      </c>
      <c r="T8" s="20" t="s">
        <v>1389</v>
      </c>
      <c r="U8" s="20" t="s">
        <v>1390</v>
      </c>
      <c r="V8" s="20" t="s">
        <v>1391</v>
      </c>
      <c r="W8" s="20" t="s">
        <v>1392</v>
      </c>
      <c r="X8" s="20" t="s">
        <v>1393</v>
      </c>
    </row>
    <row r="9" customFormat="1" ht="15" customHeight="1" spans="1:24">
      <c r="A9" t="s">
        <v>66</v>
      </c>
      <c r="B9" s="3">
        <v>7</v>
      </c>
      <c r="C9" s="7" t="s">
        <v>40</v>
      </c>
      <c r="D9" s="21" t="s">
        <v>56</v>
      </c>
      <c r="E9" t="s">
        <v>66</v>
      </c>
      <c r="G9" s="25" t="s">
        <v>67</v>
      </c>
      <c r="H9" s="14" t="s">
        <v>68</v>
      </c>
      <c r="K9" t="s">
        <v>69</v>
      </c>
      <c r="M9" s="17" t="s">
        <v>70</v>
      </c>
      <c r="N9" s="17" t="s">
        <v>71</v>
      </c>
      <c r="O9" s="17" t="s">
        <v>72</v>
      </c>
      <c r="P9" s="17" t="s">
        <v>73</v>
      </c>
      <c r="Q9" s="17" t="s">
        <v>74</v>
      </c>
      <c r="T9" s="20" t="s">
        <v>1394</v>
      </c>
      <c r="U9" s="20" t="s">
        <v>1395</v>
      </c>
      <c r="V9" s="20" t="s">
        <v>1396</v>
      </c>
      <c r="W9" s="20" t="s">
        <v>1397</v>
      </c>
      <c r="X9" s="20" t="s">
        <v>1398</v>
      </c>
    </row>
    <row r="10" customFormat="1" ht="15" customHeight="1" spans="1:24">
      <c r="A10" t="s">
        <v>75</v>
      </c>
      <c r="B10" s="3">
        <v>8</v>
      </c>
      <c r="C10" s="7" t="s">
        <v>49</v>
      </c>
      <c r="D10" s="21" t="s">
        <v>48</v>
      </c>
      <c r="E10" t="s">
        <v>75</v>
      </c>
      <c r="G10" s="22" t="s">
        <v>76</v>
      </c>
      <c r="H10" s="14" t="s">
        <v>77</v>
      </c>
      <c r="K10" t="s">
        <v>78</v>
      </c>
      <c r="M10" s="17" t="s">
        <v>79</v>
      </c>
      <c r="N10" s="17" t="s">
        <v>80</v>
      </c>
      <c r="O10" s="17" t="s">
        <v>81</v>
      </c>
      <c r="P10" s="17" t="s">
        <v>82</v>
      </c>
      <c r="Q10" s="17" t="s">
        <v>83</v>
      </c>
      <c r="T10" s="20" t="s">
        <v>1399</v>
      </c>
      <c r="U10" s="20" t="s">
        <v>1400</v>
      </c>
      <c r="V10" s="20" t="s">
        <v>1401</v>
      </c>
      <c r="W10" s="20" t="s">
        <v>1402</v>
      </c>
      <c r="X10" s="20" t="s">
        <v>1403</v>
      </c>
    </row>
    <row r="11" customFormat="1" ht="15" customHeight="1" spans="1:24">
      <c r="A11" t="s">
        <v>85</v>
      </c>
      <c r="B11" s="3">
        <v>9</v>
      </c>
      <c r="C11" s="7" t="s">
        <v>59</v>
      </c>
      <c r="D11" s="21" t="s">
        <v>84</v>
      </c>
      <c r="E11" t="s">
        <v>85</v>
      </c>
      <c r="G11" s="22" t="s">
        <v>86</v>
      </c>
      <c r="H11" s="14" t="s">
        <v>87</v>
      </c>
      <c r="K11" t="s">
        <v>88</v>
      </c>
      <c r="M11" s="17" t="s">
        <v>89</v>
      </c>
      <c r="N11" s="17" t="s">
        <v>90</v>
      </c>
      <c r="O11" s="17" t="s">
        <v>91</v>
      </c>
      <c r="P11" s="17" t="s">
        <v>92</v>
      </c>
      <c r="Q11" s="17" t="s">
        <v>93</v>
      </c>
      <c r="T11" s="20" t="s">
        <v>1404</v>
      </c>
      <c r="U11" s="20" t="s">
        <v>1405</v>
      </c>
      <c r="V11" s="20" t="s">
        <v>1406</v>
      </c>
      <c r="W11" s="20" t="s">
        <v>1407</v>
      </c>
      <c r="X11" s="20" t="s">
        <v>1373</v>
      </c>
    </row>
    <row r="12" customFormat="1" ht="15" customHeight="1" spans="1:24">
      <c r="A12" t="s">
        <v>94</v>
      </c>
      <c r="B12" s="3">
        <v>10</v>
      </c>
      <c r="C12" s="7" t="s">
        <v>68</v>
      </c>
      <c r="D12" s="21" t="s">
        <v>84</v>
      </c>
      <c r="E12" t="s">
        <v>94</v>
      </c>
      <c r="G12" s="22" t="s">
        <v>95</v>
      </c>
      <c r="H12" s="14">
        <v>907</v>
      </c>
      <c r="K12" t="s">
        <v>96</v>
      </c>
      <c r="M12" s="17" t="s">
        <v>97</v>
      </c>
      <c r="N12" s="17" t="s">
        <v>98</v>
      </c>
      <c r="O12" s="17" t="s">
        <v>99</v>
      </c>
      <c r="P12" s="17" t="s">
        <v>100</v>
      </c>
      <c r="Q12" s="17" t="s">
        <v>101</v>
      </c>
      <c r="T12" s="20" t="s">
        <v>1408</v>
      </c>
      <c r="U12" s="20" t="s">
        <v>1409</v>
      </c>
      <c r="V12" s="20" t="s">
        <v>1410</v>
      </c>
      <c r="W12" s="20" t="s">
        <v>1411</v>
      </c>
      <c r="X12" s="20" t="s">
        <v>1412</v>
      </c>
    </row>
    <row r="13" customFormat="1" ht="15" customHeight="1" spans="1:24">
      <c r="A13" t="s">
        <v>103</v>
      </c>
      <c r="B13" s="3">
        <v>11</v>
      </c>
      <c r="C13" s="7">
        <v>152</v>
      </c>
      <c r="D13" s="21" t="s">
        <v>102</v>
      </c>
      <c r="E13" t="s">
        <v>103</v>
      </c>
      <c r="G13" s="22" t="s">
        <v>104</v>
      </c>
      <c r="H13" s="14" t="s">
        <v>105</v>
      </c>
      <c r="K13" t="s">
        <v>106</v>
      </c>
      <c r="M13" s="17" t="s">
        <v>107</v>
      </c>
      <c r="N13" s="17" t="s">
        <v>108</v>
      </c>
      <c r="O13" s="17" t="s">
        <v>109</v>
      </c>
      <c r="P13" s="17" t="s">
        <v>110</v>
      </c>
      <c r="Q13" s="17" t="s">
        <v>111</v>
      </c>
      <c r="T13" s="20" t="s">
        <v>1413</v>
      </c>
      <c r="U13" s="20" t="s">
        <v>1414</v>
      </c>
      <c r="V13" s="20" t="s">
        <v>1415</v>
      </c>
      <c r="W13" s="20" t="s">
        <v>1416</v>
      </c>
      <c r="X13" s="20" t="s">
        <v>1417</v>
      </c>
    </row>
    <row r="14" customFormat="1" ht="15" customHeight="1" spans="1:24">
      <c r="A14" t="s">
        <v>113</v>
      </c>
      <c r="B14" s="3">
        <v>12</v>
      </c>
      <c r="C14" s="7">
        <v>154</v>
      </c>
      <c r="D14" s="21" t="s">
        <v>112</v>
      </c>
      <c r="E14" t="s">
        <v>113</v>
      </c>
      <c r="G14" s="22" t="s">
        <v>104</v>
      </c>
      <c r="H14" s="14" t="s">
        <v>114</v>
      </c>
      <c r="K14" t="s">
        <v>115</v>
      </c>
      <c r="M14" s="17" t="s">
        <v>116</v>
      </c>
      <c r="N14" s="17" t="s">
        <v>117</v>
      </c>
      <c r="O14" s="17" t="s">
        <v>118</v>
      </c>
      <c r="P14" s="17" t="s">
        <v>119</v>
      </c>
      <c r="Q14" s="17" t="s">
        <v>120</v>
      </c>
      <c r="T14" s="20" t="s">
        <v>1418</v>
      </c>
      <c r="U14" s="20" t="s">
        <v>1419</v>
      </c>
      <c r="V14" s="20" t="s">
        <v>1420</v>
      </c>
      <c r="W14" s="20" t="s">
        <v>1421</v>
      </c>
      <c r="X14" s="20" t="s">
        <v>1422</v>
      </c>
    </row>
    <row r="15" customFormat="1" ht="15" customHeight="1" spans="1:24">
      <c r="A15" t="s">
        <v>122</v>
      </c>
      <c r="B15" s="3">
        <v>13</v>
      </c>
      <c r="C15" s="7">
        <v>155</v>
      </c>
      <c r="D15" s="21" t="s">
        <v>121</v>
      </c>
      <c r="E15" t="s">
        <v>122</v>
      </c>
      <c r="G15" s="22" t="s">
        <v>123</v>
      </c>
      <c r="H15" s="14" t="s">
        <v>124</v>
      </c>
      <c r="K15" t="s">
        <v>125</v>
      </c>
      <c r="M15" s="17" t="s">
        <v>126</v>
      </c>
      <c r="N15" s="17" t="s">
        <v>127</v>
      </c>
      <c r="O15" s="17" t="s">
        <v>128</v>
      </c>
      <c r="P15" s="17" t="s">
        <v>129</v>
      </c>
      <c r="Q15" s="17" t="s">
        <v>130</v>
      </c>
      <c r="T15" s="20" t="s">
        <v>1423</v>
      </c>
      <c r="U15" s="20" t="s">
        <v>1424</v>
      </c>
      <c r="V15" s="20" t="s">
        <v>1425</v>
      </c>
      <c r="W15" s="20" t="s">
        <v>1426</v>
      </c>
      <c r="X15" s="20" t="s">
        <v>1427</v>
      </c>
    </row>
    <row r="16" customFormat="1" ht="15" customHeight="1" spans="1:24">
      <c r="A16" t="s">
        <v>132</v>
      </c>
      <c r="B16" s="3">
        <v>14</v>
      </c>
      <c r="C16" s="7">
        <v>911</v>
      </c>
      <c r="D16" s="21" t="s">
        <v>131</v>
      </c>
      <c r="E16" t="s">
        <v>132</v>
      </c>
      <c r="G16" s="22" t="s">
        <v>123</v>
      </c>
      <c r="H16" s="14" t="s">
        <v>133</v>
      </c>
      <c r="K16" t="s">
        <v>134</v>
      </c>
      <c r="M16" s="17" t="s">
        <v>135</v>
      </c>
      <c r="N16" s="17" t="s">
        <v>136</v>
      </c>
      <c r="O16" s="17" t="s">
        <v>137</v>
      </c>
      <c r="P16" s="17" t="s">
        <v>138</v>
      </c>
      <c r="Q16" s="17" t="s">
        <v>139</v>
      </c>
      <c r="T16" s="20" t="s">
        <v>1428</v>
      </c>
      <c r="U16" s="20" t="s">
        <v>1429</v>
      </c>
      <c r="V16" s="20" t="s">
        <v>1430</v>
      </c>
      <c r="W16" s="20" t="s">
        <v>1431</v>
      </c>
      <c r="X16" s="20" t="s">
        <v>1432</v>
      </c>
    </row>
    <row r="17" customFormat="1" ht="15" customHeight="1" spans="1:24">
      <c r="A17" t="s">
        <v>141</v>
      </c>
      <c r="B17" s="3">
        <v>15</v>
      </c>
      <c r="C17" s="7">
        <v>122</v>
      </c>
      <c r="D17" s="21" t="s">
        <v>140</v>
      </c>
      <c r="E17" t="s">
        <v>141</v>
      </c>
      <c r="G17" s="22" t="s">
        <v>142</v>
      </c>
      <c r="H17" s="14">
        <v>114</v>
      </c>
      <c r="K17" t="s">
        <v>143</v>
      </c>
      <c r="M17" s="17" t="s">
        <v>144</v>
      </c>
      <c r="N17" s="17" t="s">
        <v>145</v>
      </c>
      <c r="O17" s="17" t="s">
        <v>146</v>
      </c>
      <c r="P17" s="17" t="s">
        <v>147</v>
      </c>
      <c r="Q17" s="17" t="s">
        <v>148</v>
      </c>
      <c r="T17" s="20" t="s">
        <v>1433</v>
      </c>
      <c r="U17" s="20" t="s">
        <v>1434</v>
      </c>
      <c r="V17" s="20" t="s">
        <v>1435</v>
      </c>
      <c r="W17" s="20" t="s">
        <v>1436</v>
      </c>
      <c r="X17" s="20" t="s">
        <v>1437</v>
      </c>
    </row>
    <row r="18" customFormat="1" ht="15" customHeight="1" spans="1:24">
      <c r="A18" t="s">
        <v>149</v>
      </c>
      <c r="B18" s="3">
        <v>16</v>
      </c>
      <c r="C18" s="7" t="s">
        <v>77</v>
      </c>
      <c r="D18" s="21" t="s">
        <v>76</v>
      </c>
      <c r="E18" t="s">
        <v>149</v>
      </c>
      <c r="G18" s="22" t="s">
        <v>150</v>
      </c>
      <c r="H18" s="14" t="s">
        <v>151</v>
      </c>
      <c r="K18" t="s">
        <v>152</v>
      </c>
      <c r="M18" s="17" t="s">
        <v>153</v>
      </c>
      <c r="N18" s="17" t="s">
        <v>154</v>
      </c>
      <c r="O18" s="17" t="s">
        <v>155</v>
      </c>
      <c r="P18" s="17" t="s">
        <v>156</v>
      </c>
      <c r="Q18" s="17" t="s">
        <v>157</v>
      </c>
      <c r="T18" s="20" t="s">
        <v>1432</v>
      </c>
      <c r="U18" s="20" t="s">
        <v>1438</v>
      </c>
      <c r="V18" s="20" t="s">
        <v>1431</v>
      </c>
      <c r="W18" s="20" t="s">
        <v>1439</v>
      </c>
      <c r="X18" s="20" t="s">
        <v>1440</v>
      </c>
    </row>
    <row r="19" customFormat="1" ht="15" customHeight="1" spans="1:24">
      <c r="A19" t="s">
        <v>159</v>
      </c>
      <c r="B19" s="3">
        <v>17</v>
      </c>
      <c r="C19" s="7">
        <v>906</v>
      </c>
      <c r="D19" s="21" t="s">
        <v>158</v>
      </c>
      <c r="E19" t="s">
        <v>159</v>
      </c>
      <c r="G19" s="22" t="s">
        <v>150</v>
      </c>
      <c r="H19" s="14" t="s">
        <v>160</v>
      </c>
      <c r="K19" t="s">
        <v>161</v>
      </c>
      <c r="M19" s="17" t="s">
        <v>162</v>
      </c>
      <c r="N19" s="17" t="s">
        <v>163</v>
      </c>
      <c r="O19" s="17" t="s">
        <v>164</v>
      </c>
      <c r="P19" s="17" t="s">
        <v>165</v>
      </c>
      <c r="Q19" s="17" t="s">
        <v>166</v>
      </c>
      <c r="T19" s="20" t="s">
        <v>1441</v>
      </c>
      <c r="U19" s="20" t="s">
        <v>1436</v>
      </c>
      <c r="V19" s="20" t="s">
        <v>1442</v>
      </c>
      <c r="W19" s="20" t="s">
        <v>1443</v>
      </c>
      <c r="X19" s="20" t="s">
        <v>1444</v>
      </c>
    </row>
    <row r="20" customFormat="1" ht="15" customHeight="1" spans="1:24">
      <c r="A20" t="s">
        <v>168</v>
      </c>
      <c r="B20" s="3">
        <v>18</v>
      </c>
      <c r="C20" s="7">
        <v>153</v>
      </c>
      <c r="D20" s="21" t="s">
        <v>167</v>
      </c>
      <c r="E20" t="s">
        <v>168</v>
      </c>
      <c r="G20" s="22" t="s">
        <v>169</v>
      </c>
      <c r="H20" s="14" t="s">
        <v>170</v>
      </c>
      <c r="K20" t="s">
        <v>171</v>
      </c>
      <c r="M20" s="17" t="s">
        <v>172</v>
      </c>
      <c r="N20" s="17" t="s">
        <v>173</v>
      </c>
      <c r="O20" s="17" t="s">
        <v>174</v>
      </c>
      <c r="P20" s="17" t="s">
        <v>175</v>
      </c>
      <c r="Q20" s="17" t="s">
        <v>176</v>
      </c>
      <c r="T20" s="20" t="s">
        <v>1445</v>
      </c>
      <c r="U20" s="20" t="s">
        <v>1446</v>
      </c>
      <c r="V20" s="20" t="s">
        <v>1447</v>
      </c>
      <c r="W20" s="20" t="s">
        <v>1448</v>
      </c>
      <c r="X20" s="20" t="s">
        <v>1449</v>
      </c>
    </row>
    <row r="21" customFormat="1" ht="15" customHeight="1" spans="1:24">
      <c r="A21" t="s">
        <v>177</v>
      </c>
      <c r="B21" s="3">
        <v>19</v>
      </c>
      <c r="C21" s="7" t="s">
        <v>87</v>
      </c>
      <c r="D21" s="21" t="s">
        <v>86</v>
      </c>
      <c r="E21" t="s">
        <v>177</v>
      </c>
      <c r="G21" s="22" t="s">
        <v>178</v>
      </c>
      <c r="H21" s="14" t="s">
        <v>179</v>
      </c>
      <c r="K21" t="s">
        <v>180</v>
      </c>
      <c r="M21" s="17" t="s">
        <v>181</v>
      </c>
      <c r="N21" s="17" t="s">
        <v>182</v>
      </c>
      <c r="O21" s="17" t="s">
        <v>183</v>
      </c>
      <c r="P21" s="17" t="s">
        <v>184</v>
      </c>
      <c r="Q21" s="17" t="s">
        <v>185</v>
      </c>
      <c r="T21" s="20" t="s">
        <v>1450</v>
      </c>
      <c r="U21" s="20" t="s">
        <v>1451</v>
      </c>
      <c r="V21" s="20" t="s">
        <v>1452</v>
      </c>
      <c r="W21" s="20" t="s">
        <v>1453</v>
      </c>
      <c r="X21" s="20" t="s">
        <v>1454</v>
      </c>
    </row>
    <row r="22" customFormat="1" ht="15" customHeight="1" spans="1:24">
      <c r="A22" t="s">
        <v>186</v>
      </c>
      <c r="B22" s="3">
        <v>20</v>
      </c>
      <c r="C22" s="7">
        <v>907</v>
      </c>
      <c r="D22" s="21" t="s">
        <v>95</v>
      </c>
      <c r="E22" t="s">
        <v>186</v>
      </c>
      <c r="G22" s="22" t="s">
        <v>187</v>
      </c>
      <c r="H22" s="14">
        <v>157</v>
      </c>
      <c r="K22" t="s">
        <v>188</v>
      </c>
      <c r="M22" s="17" t="s">
        <v>189</v>
      </c>
      <c r="N22" s="17" t="s">
        <v>190</v>
      </c>
      <c r="O22" s="17" t="s">
        <v>191</v>
      </c>
      <c r="P22" s="17" t="s">
        <v>192</v>
      </c>
      <c r="Q22" s="17" t="s">
        <v>193</v>
      </c>
      <c r="T22" s="20" t="s">
        <v>1455</v>
      </c>
      <c r="U22" s="20" t="s">
        <v>1456</v>
      </c>
      <c r="V22" s="20" t="s">
        <v>1457</v>
      </c>
      <c r="W22" s="20" t="s">
        <v>1458</v>
      </c>
      <c r="X22" s="20" t="s">
        <v>1378</v>
      </c>
    </row>
    <row r="23" customFormat="1" ht="15" customHeight="1" spans="1:24">
      <c r="A23" t="s">
        <v>195</v>
      </c>
      <c r="B23" s="3">
        <v>21</v>
      </c>
      <c r="C23" s="7">
        <v>901</v>
      </c>
      <c r="D23" s="21" t="s">
        <v>194</v>
      </c>
      <c r="E23" t="s">
        <v>195</v>
      </c>
      <c r="G23" s="22" t="s">
        <v>196</v>
      </c>
      <c r="H23" s="14">
        <v>156</v>
      </c>
      <c r="K23" t="s">
        <v>197</v>
      </c>
      <c r="M23" s="17" t="s">
        <v>198</v>
      </c>
      <c r="N23" s="17" t="s">
        <v>199</v>
      </c>
      <c r="O23" s="17" t="s">
        <v>200</v>
      </c>
      <c r="P23" s="17" t="s">
        <v>201</v>
      </c>
      <c r="Q23" s="17" t="s">
        <v>202</v>
      </c>
      <c r="T23" s="20" t="s">
        <v>1459</v>
      </c>
      <c r="U23" s="20" t="s">
        <v>1460</v>
      </c>
      <c r="V23" s="20" t="s">
        <v>1461</v>
      </c>
      <c r="W23" s="20" t="s">
        <v>1462</v>
      </c>
      <c r="X23" s="20" t="s">
        <v>1463</v>
      </c>
    </row>
    <row r="24" customFormat="1" ht="15" customHeight="1" spans="1:24">
      <c r="A24" t="s">
        <v>203</v>
      </c>
      <c r="B24" s="3">
        <v>22</v>
      </c>
      <c r="C24" s="7" t="s">
        <v>105</v>
      </c>
      <c r="D24" s="21" t="s">
        <v>104</v>
      </c>
      <c r="E24" t="s">
        <v>203</v>
      </c>
      <c r="G24" s="22" t="s">
        <v>204</v>
      </c>
      <c r="H24" s="14">
        <v>302</v>
      </c>
      <c r="K24" t="s">
        <v>205</v>
      </c>
      <c r="M24" s="17" t="s">
        <v>206</v>
      </c>
      <c r="N24" s="17" t="s">
        <v>207</v>
      </c>
      <c r="O24" s="17" t="s">
        <v>208</v>
      </c>
      <c r="P24" s="17" t="s">
        <v>209</v>
      </c>
      <c r="Q24" s="17" t="s">
        <v>210</v>
      </c>
      <c r="T24" s="20" t="s">
        <v>1464</v>
      </c>
      <c r="U24" s="20" t="s">
        <v>1453</v>
      </c>
      <c r="V24" s="20" t="s">
        <v>1465</v>
      </c>
      <c r="W24" s="20" t="s">
        <v>1466</v>
      </c>
      <c r="X24" s="20" t="s">
        <v>1467</v>
      </c>
    </row>
    <row r="25" customFormat="1" ht="15" customHeight="1" spans="1:24">
      <c r="A25" t="s">
        <v>211</v>
      </c>
      <c r="B25" s="3">
        <v>23</v>
      </c>
      <c r="C25" s="7" t="s">
        <v>114</v>
      </c>
      <c r="D25" s="21" t="s">
        <v>104</v>
      </c>
      <c r="E25" t="s">
        <v>211</v>
      </c>
      <c r="G25" s="22" t="s">
        <v>212</v>
      </c>
      <c r="H25" s="14">
        <v>304</v>
      </c>
      <c r="K25" t="s">
        <v>213</v>
      </c>
      <c r="M25" s="17" t="s">
        <v>214</v>
      </c>
      <c r="N25" s="17" t="s">
        <v>215</v>
      </c>
      <c r="O25" s="17" t="s">
        <v>208</v>
      </c>
      <c r="P25" s="17" t="s">
        <v>216</v>
      </c>
      <c r="Q25" s="17" t="s">
        <v>217</v>
      </c>
      <c r="T25" s="20" t="s">
        <v>1468</v>
      </c>
      <c r="U25" s="20" t="s">
        <v>1469</v>
      </c>
      <c r="V25" s="20" t="s">
        <v>1465</v>
      </c>
      <c r="W25" s="20" t="s">
        <v>1470</v>
      </c>
      <c r="X25" s="20" t="s">
        <v>1471</v>
      </c>
    </row>
    <row r="26" customFormat="1" ht="15" customHeight="1" spans="1:24">
      <c r="A26" t="s">
        <v>218</v>
      </c>
      <c r="B26" s="3">
        <v>24</v>
      </c>
      <c r="C26" s="7" t="s">
        <v>124</v>
      </c>
      <c r="D26" s="21" t="s">
        <v>123</v>
      </c>
      <c r="E26" t="s">
        <v>218</v>
      </c>
      <c r="G26" s="22" t="s">
        <v>212</v>
      </c>
      <c r="H26" s="14">
        <v>303</v>
      </c>
      <c r="K26" t="s">
        <v>219</v>
      </c>
      <c r="M26" s="17" t="s">
        <v>220</v>
      </c>
      <c r="N26" s="17" t="s">
        <v>221</v>
      </c>
      <c r="O26" s="17" t="s">
        <v>222</v>
      </c>
      <c r="P26" s="17" t="s">
        <v>223</v>
      </c>
      <c r="Q26" s="17" t="s">
        <v>224</v>
      </c>
      <c r="T26" s="20" t="s">
        <v>1472</v>
      </c>
      <c r="U26" s="20" t="s">
        <v>1473</v>
      </c>
      <c r="V26" s="20" t="s">
        <v>1474</v>
      </c>
      <c r="W26" s="20" t="s">
        <v>1475</v>
      </c>
      <c r="X26" s="20" t="s">
        <v>1447</v>
      </c>
    </row>
    <row r="27" customFormat="1" ht="15" customHeight="1" spans="1:24">
      <c r="A27" t="s">
        <v>225</v>
      </c>
      <c r="B27" s="3">
        <v>25</v>
      </c>
      <c r="C27" s="7" t="s">
        <v>133</v>
      </c>
      <c r="D27" s="21" t="s">
        <v>123</v>
      </c>
      <c r="E27" t="s">
        <v>225</v>
      </c>
      <c r="G27" s="22" t="s">
        <v>226</v>
      </c>
      <c r="H27" s="14" t="s">
        <v>227</v>
      </c>
      <c r="K27" t="s">
        <v>228</v>
      </c>
      <c r="M27" s="17" t="s">
        <v>229</v>
      </c>
      <c r="N27" s="17" t="s">
        <v>230</v>
      </c>
      <c r="O27" s="17" t="s">
        <v>231</v>
      </c>
      <c r="P27" s="17" t="s">
        <v>232</v>
      </c>
      <c r="Q27" s="17" t="s">
        <v>233</v>
      </c>
      <c r="T27" s="20" t="s">
        <v>1476</v>
      </c>
      <c r="U27" s="20" t="s">
        <v>1477</v>
      </c>
      <c r="V27" s="20" t="s">
        <v>1478</v>
      </c>
      <c r="W27" s="20" t="s">
        <v>1456</v>
      </c>
      <c r="X27" s="20" t="s">
        <v>1479</v>
      </c>
    </row>
    <row r="28" customFormat="1" ht="15" customHeight="1" spans="1:24">
      <c r="A28" t="s">
        <v>234</v>
      </c>
      <c r="B28" s="3">
        <v>26</v>
      </c>
      <c r="C28" s="7">
        <v>114</v>
      </c>
      <c r="D28" s="21" t="s">
        <v>142</v>
      </c>
      <c r="E28" t="s">
        <v>234</v>
      </c>
      <c r="G28" s="22" t="s">
        <v>226</v>
      </c>
      <c r="H28" s="14" t="s">
        <v>235</v>
      </c>
      <c r="K28" t="s">
        <v>236</v>
      </c>
      <c r="M28" s="17" t="s">
        <v>237</v>
      </c>
      <c r="N28" s="17" t="s">
        <v>238</v>
      </c>
      <c r="O28" s="17" t="s">
        <v>239</v>
      </c>
      <c r="P28" s="17" t="s">
        <v>240</v>
      </c>
      <c r="Q28" s="17" t="s">
        <v>241</v>
      </c>
      <c r="T28" s="20" t="s">
        <v>1480</v>
      </c>
      <c r="U28" s="20" t="s">
        <v>1481</v>
      </c>
      <c r="V28" s="20" t="s">
        <v>1482</v>
      </c>
      <c r="W28" s="20" t="s">
        <v>1483</v>
      </c>
      <c r="X28" s="20" t="s">
        <v>1484</v>
      </c>
    </row>
    <row r="29" customFormat="1" ht="15" customHeight="1" spans="1:24">
      <c r="A29" t="s">
        <v>242</v>
      </c>
      <c r="B29" s="3">
        <v>27</v>
      </c>
      <c r="C29" s="7" t="s">
        <v>151</v>
      </c>
      <c r="D29" s="21" t="s">
        <v>150</v>
      </c>
      <c r="E29" t="s">
        <v>242</v>
      </c>
      <c r="G29" s="25" t="s">
        <v>243</v>
      </c>
      <c r="H29" s="14" t="s">
        <v>244</v>
      </c>
      <c r="K29" t="s">
        <v>245</v>
      </c>
      <c r="M29" s="17" t="s">
        <v>246</v>
      </c>
      <c r="N29" s="17" t="s">
        <v>247</v>
      </c>
      <c r="O29" s="17" t="s">
        <v>248</v>
      </c>
      <c r="P29" s="17" t="s">
        <v>249</v>
      </c>
      <c r="Q29" s="17" t="s">
        <v>250</v>
      </c>
      <c r="T29" s="20" t="s">
        <v>1485</v>
      </c>
      <c r="U29" s="20" t="s">
        <v>1486</v>
      </c>
      <c r="V29" s="20" t="s">
        <v>1487</v>
      </c>
      <c r="W29" s="20" t="s">
        <v>1488</v>
      </c>
      <c r="X29" s="20" t="s">
        <v>1457</v>
      </c>
    </row>
    <row r="30" customFormat="1" ht="15" customHeight="1" spans="1:24">
      <c r="A30" t="s">
        <v>251</v>
      </c>
      <c r="B30" s="3">
        <v>28</v>
      </c>
      <c r="C30" s="7" t="s">
        <v>160</v>
      </c>
      <c r="D30" s="21" t="s">
        <v>150</v>
      </c>
      <c r="E30" t="s">
        <v>251</v>
      </c>
      <c r="G30" s="25" t="s">
        <v>252</v>
      </c>
      <c r="H30" s="14" t="s">
        <v>253</v>
      </c>
      <c r="K30" t="s">
        <v>254</v>
      </c>
      <c r="M30" s="17" t="s">
        <v>255</v>
      </c>
      <c r="N30" s="17" t="s">
        <v>256</v>
      </c>
      <c r="O30" s="17" t="s">
        <v>257</v>
      </c>
      <c r="P30" s="17" t="s">
        <v>258</v>
      </c>
      <c r="Q30" s="17" t="s">
        <v>259</v>
      </c>
      <c r="T30" s="20" t="s">
        <v>1489</v>
      </c>
      <c r="U30" s="20" t="s">
        <v>1490</v>
      </c>
      <c r="V30" s="20" t="s">
        <v>1491</v>
      </c>
      <c r="W30" s="20" t="s">
        <v>1492</v>
      </c>
      <c r="X30" s="20" t="s">
        <v>1493</v>
      </c>
    </row>
    <row r="31" customFormat="1" ht="15" customHeight="1" spans="1:24">
      <c r="A31" t="s">
        <v>262</v>
      </c>
      <c r="B31" s="3">
        <v>29</v>
      </c>
      <c r="C31" s="7" t="s">
        <v>260</v>
      </c>
      <c r="D31" s="21" t="s">
        <v>261</v>
      </c>
      <c r="E31" t="s">
        <v>262</v>
      </c>
      <c r="G31" s="22" t="s">
        <v>263</v>
      </c>
      <c r="H31" s="14">
        <v>310</v>
      </c>
      <c r="K31" t="s">
        <v>264</v>
      </c>
      <c r="M31" s="17" t="s">
        <v>265</v>
      </c>
      <c r="N31" s="17" t="s">
        <v>266</v>
      </c>
      <c r="O31" s="17" t="s">
        <v>267</v>
      </c>
      <c r="P31" s="17" t="s">
        <v>268</v>
      </c>
      <c r="Q31" s="17" t="s">
        <v>269</v>
      </c>
      <c r="T31" s="20" t="s">
        <v>1494</v>
      </c>
      <c r="U31" s="20" t="s">
        <v>1495</v>
      </c>
      <c r="V31" s="20" t="s">
        <v>1496</v>
      </c>
      <c r="W31" s="20" t="s">
        <v>1497</v>
      </c>
      <c r="X31" s="20" t="s">
        <v>1465</v>
      </c>
    </row>
    <row r="32" customFormat="1" ht="15" customHeight="1" spans="1:24">
      <c r="A32" t="s">
        <v>272</v>
      </c>
      <c r="B32" s="3">
        <v>30</v>
      </c>
      <c r="C32" s="7" t="s">
        <v>270</v>
      </c>
      <c r="D32" s="21" t="s">
        <v>271</v>
      </c>
      <c r="E32" t="s">
        <v>272</v>
      </c>
      <c r="G32" s="22" t="s">
        <v>273</v>
      </c>
      <c r="H32" s="14">
        <v>357</v>
      </c>
      <c r="K32" t="s">
        <v>274</v>
      </c>
      <c r="M32" s="17" t="s">
        <v>275</v>
      </c>
      <c r="N32" s="17" t="s">
        <v>276</v>
      </c>
      <c r="O32" s="17" t="s">
        <v>277</v>
      </c>
      <c r="P32" s="17" t="s">
        <v>278</v>
      </c>
      <c r="Q32" s="17" t="s">
        <v>279</v>
      </c>
      <c r="T32" s="20" t="s">
        <v>1498</v>
      </c>
      <c r="U32" s="20" t="s">
        <v>1499</v>
      </c>
      <c r="V32" s="20" t="s">
        <v>1500</v>
      </c>
      <c r="W32" s="20" t="s">
        <v>1501</v>
      </c>
      <c r="X32" s="20" t="s">
        <v>1502</v>
      </c>
    </row>
    <row r="33" customFormat="1" ht="15" customHeight="1" spans="1:24">
      <c r="A33" t="s">
        <v>281</v>
      </c>
      <c r="B33" s="3">
        <v>31</v>
      </c>
      <c r="C33" s="7" t="s">
        <v>280</v>
      </c>
      <c r="D33" s="21" t="s">
        <v>271</v>
      </c>
      <c r="E33" t="s">
        <v>281</v>
      </c>
      <c r="G33" s="22" t="s">
        <v>282</v>
      </c>
      <c r="H33" s="14">
        <v>318</v>
      </c>
      <c r="K33" t="s">
        <v>283</v>
      </c>
      <c r="M33" s="17" t="s">
        <v>284</v>
      </c>
      <c r="N33" s="17" t="s">
        <v>285</v>
      </c>
      <c r="O33" s="17" t="s">
        <v>286</v>
      </c>
      <c r="P33" s="17" t="s">
        <v>287</v>
      </c>
      <c r="Q33" s="17" t="s">
        <v>288</v>
      </c>
      <c r="T33" s="20" t="s">
        <v>1503</v>
      </c>
      <c r="U33" s="20" t="s">
        <v>1504</v>
      </c>
      <c r="V33" s="20" t="s">
        <v>1505</v>
      </c>
      <c r="W33" s="20" t="s">
        <v>1506</v>
      </c>
      <c r="X33" s="20" t="s">
        <v>1507</v>
      </c>
    </row>
    <row r="34" customFormat="1" ht="15" customHeight="1" spans="1:24">
      <c r="A34" t="s">
        <v>290</v>
      </c>
      <c r="B34" s="3">
        <v>32</v>
      </c>
      <c r="C34" s="7">
        <v>113</v>
      </c>
      <c r="D34" s="21" t="s">
        <v>289</v>
      </c>
      <c r="E34" t="s">
        <v>290</v>
      </c>
      <c r="G34" s="22" t="s">
        <v>291</v>
      </c>
      <c r="H34" s="14">
        <v>327</v>
      </c>
      <c r="K34" t="s">
        <v>292</v>
      </c>
      <c r="M34" s="17" t="s">
        <v>293</v>
      </c>
      <c r="N34" s="17" t="s">
        <v>294</v>
      </c>
      <c r="O34" s="17" t="s">
        <v>295</v>
      </c>
      <c r="P34" s="17" t="s">
        <v>296</v>
      </c>
      <c r="Q34" s="17" t="s">
        <v>297</v>
      </c>
      <c r="T34" s="20" t="s">
        <v>1508</v>
      </c>
      <c r="U34" s="20" t="s">
        <v>1509</v>
      </c>
      <c r="V34" s="20" t="s">
        <v>1510</v>
      </c>
      <c r="W34" s="20" t="s">
        <v>1511</v>
      </c>
      <c r="X34" s="20" t="s">
        <v>1512</v>
      </c>
    </row>
    <row r="35" customFormat="1" ht="15" customHeight="1" spans="1:24">
      <c r="A35" t="s">
        <v>298</v>
      </c>
      <c r="B35" s="3">
        <v>33</v>
      </c>
      <c r="C35" s="7" t="s">
        <v>170</v>
      </c>
      <c r="D35" s="21" t="s">
        <v>169</v>
      </c>
      <c r="E35" t="s">
        <v>298</v>
      </c>
      <c r="G35" s="22" t="s">
        <v>299</v>
      </c>
      <c r="H35" s="14">
        <v>307</v>
      </c>
      <c r="K35" t="s">
        <v>300</v>
      </c>
      <c r="M35" s="17" t="s">
        <v>301</v>
      </c>
      <c r="N35" s="17" t="s">
        <v>302</v>
      </c>
      <c r="O35" s="17" t="s">
        <v>303</v>
      </c>
      <c r="P35" s="17" t="s">
        <v>304</v>
      </c>
      <c r="Q35" s="17" t="s">
        <v>305</v>
      </c>
      <c r="T35" s="20" t="s">
        <v>1513</v>
      </c>
      <c r="U35" s="20" t="s">
        <v>1514</v>
      </c>
      <c r="V35" s="20" t="s">
        <v>1515</v>
      </c>
      <c r="W35" s="20" t="s">
        <v>1516</v>
      </c>
      <c r="X35" s="20" t="s">
        <v>1517</v>
      </c>
    </row>
    <row r="36" customFormat="1" ht="15" customHeight="1" spans="1:24">
      <c r="A36" t="s">
        <v>306</v>
      </c>
      <c r="B36" s="3">
        <v>34</v>
      </c>
      <c r="C36" s="7" t="s">
        <v>179</v>
      </c>
      <c r="D36" s="21" t="s">
        <v>178</v>
      </c>
      <c r="E36" t="s">
        <v>306</v>
      </c>
      <c r="G36" s="22" t="s">
        <v>307</v>
      </c>
      <c r="H36" s="14">
        <v>306</v>
      </c>
      <c r="K36" t="s">
        <v>308</v>
      </c>
      <c r="M36" s="17" t="s">
        <v>309</v>
      </c>
      <c r="N36" s="17" t="s">
        <v>310</v>
      </c>
      <c r="O36" s="17" t="s">
        <v>311</v>
      </c>
      <c r="P36" s="17" t="s">
        <v>312</v>
      </c>
      <c r="Q36" s="17" t="s">
        <v>313</v>
      </c>
      <c r="T36" s="20" t="s">
        <v>1518</v>
      </c>
      <c r="U36" s="20" t="s">
        <v>1519</v>
      </c>
      <c r="V36" s="20" t="s">
        <v>1520</v>
      </c>
      <c r="W36" s="20" t="s">
        <v>1521</v>
      </c>
      <c r="X36" s="20" t="s">
        <v>1522</v>
      </c>
    </row>
    <row r="37" customFormat="1" ht="15" customHeight="1" spans="1:24">
      <c r="A37" t="s">
        <v>314</v>
      </c>
      <c r="B37" s="3">
        <v>35</v>
      </c>
      <c r="C37" s="7">
        <v>157</v>
      </c>
      <c r="D37" s="21" t="s">
        <v>187</v>
      </c>
      <c r="E37" t="s">
        <v>314</v>
      </c>
      <c r="G37" s="22" t="s">
        <v>307</v>
      </c>
      <c r="H37" s="14">
        <v>305</v>
      </c>
      <c r="K37" t="s">
        <v>315</v>
      </c>
      <c r="M37" s="17" t="s">
        <v>316</v>
      </c>
      <c r="N37" s="17" t="s">
        <v>317</v>
      </c>
      <c r="O37" s="17" t="s">
        <v>318</v>
      </c>
      <c r="P37" s="17" t="s">
        <v>319</v>
      </c>
      <c r="Q37" s="17" t="s">
        <v>320</v>
      </c>
      <c r="T37" s="20" t="s">
        <v>1523</v>
      </c>
      <c r="U37" s="20" t="s">
        <v>1524</v>
      </c>
      <c r="V37" s="20" t="s">
        <v>1525</v>
      </c>
      <c r="W37" s="20" t="s">
        <v>1526</v>
      </c>
      <c r="X37" s="20" t="s">
        <v>1527</v>
      </c>
    </row>
    <row r="38" customFormat="1" ht="15" customHeight="1" spans="1:24">
      <c r="A38" t="s">
        <v>321</v>
      </c>
      <c r="B38" s="3">
        <v>36</v>
      </c>
      <c r="C38" s="7">
        <v>156</v>
      </c>
      <c r="D38" s="21" t="s">
        <v>196</v>
      </c>
      <c r="E38" t="s">
        <v>321</v>
      </c>
      <c r="G38" s="22" t="s">
        <v>322</v>
      </c>
      <c r="H38" s="14" t="s">
        <v>323</v>
      </c>
      <c r="K38" t="s">
        <v>324</v>
      </c>
      <c r="M38" s="17" t="s">
        <v>325</v>
      </c>
      <c r="N38" s="17" t="s">
        <v>326</v>
      </c>
      <c r="O38" s="17" t="s">
        <v>327</v>
      </c>
      <c r="P38" s="17" t="s">
        <v>328</v>
      </c>
      <c r="Q38" s="17" t="s">
        <v>329</v>
      </c>
      <c r="T38" s="20" t="s">
        <v>1528</v>
      </c>
      <c r="U38" s="20" t="s">
        <v>1529</v>
      </c>
      <c r="V38" s="20" t="s">
        <v>1530</v>
      </c>
      <c r="W38" s="20" t="s">
        <v>1531</v>
      </c>
      <c r="X38" s="20" t="s">
        <v>1532</v>
      </c>
    </row>
    <row r="39" customFormat="1" ht="15" customHeight="1" spans="1:24">
      <c r="A39" t="s">
        <v>1533</v>
      </c>
      <c r="B39" s="3">
        <v>37</v>
      </c>
      <c r="C39" s="7" t="s">
        <v>330</v>
      </c>
      <c r="D39" s="21" t="s">
        <v>331</v>
      </c>
      <c r="E39" t="str">
        <f t="shared" ref="E39:E102" si="0">C39&amp;D39</f>
        <v>304/A排料溜槽电液动闸门</v>
      </c>
      <c r="G39" s="22" t="s">
        <v>332</v>
      </c>
      <c r="H39" s="14" t="s">
        <v>333</v>
      </c>
      <c r="K39" t="s">
        <v>334</v>
      </c>
      <c r="M39" s="17" t="s">
        <v>335</v>
      </c>
      <c r="N39" s="17" t="s">
        <v>336</v>
      </c>
      <c r="O39" s="17" t="s">
        <v>337</v>
      </c>
      <c r="P39" s="17" t="s">
        <v>338</v>
      </c>
      <c r="Q39" s="17" t="s">
        <v>339</v>
      </c>
      <c r="T39" s="20" t="s">
        <v>1534</v>
      </c>
      <c r="U39" s="20" t="s">
        <v>1535</v>
      </c>
      <c r="V39" s="20" t="s">
        <v>1536</v>
      </c>
      <c r="W39" s="20" t="s">
        <v>1537</v>
      </c>
      <c r="X39" s="20" t="s">
        <v>1538</v>
      </c>
    </row>
    <row r="40" customFormat="1" ht="15" customHeight="1" spans="1:24">
      <c r="A40" t="s">
        <v>1539</v>
      </c>
      <c r="B40" s="3">
        <v>38</v>
      </c>
      <c r="C40" s="7" t="s">
        <v>340</v>
      </c>
      <c r="D40" s="21" t="s">
        <v>331</v>
      </c>
      <c r="E40" t="str">
        <f t="shared" si="0"/>
        <v>303/A排料溜槽电液动闸门</v>
      </c>
      <c r="G40" s="22" t="s">
        <v>332</v>
      </c>
      <c r="H40" s="14" t="s">
        <v>341</v>
      </c>
      <c r="K40" t="s">
        <v>342</v>
      </c>
      <c r="M40" s="17" t="s">
        <v>343</v>
      </c>
      <c r="N40" s="17" t="s">
        <v>344</v>
      </c>
      <c r="O40" s="17" t="s">
        <v>345</v>
      </c>
      <c r="P40" s="17" t="s">
        <v>346</v>
      </c>
      <c r="Q40" s="17" t="s">
        <v>347</v>
      </c>
      <c r="T40" s="20" t="s">
        <v>1540</v>
      </c>
      <c r="U40" s="20" t="s">
        <v>1541</v>
      </c>
      <c r="V40" s="20" t="s">
        <v>1542</v>
      </c>
      <c r="W40" s="20" t="s">
        <v>1543</v>
      </c>
      <c r="X40" s="20" t="s">
        <v>1544</v>
      </c>
    </row>
    <row r="41" customFormat="1" ht="15" customHeight="1" spans="1:24">
      <c r="A41" t="s">
        <v>1545</v>
      </c>
      <c r="B41" s="3">
        <v>39</v>
      </c>
      <c r="C41" s="3">
        <v>302</v>
      </c>
      <c r="D41" s="21" t="s">
        <v>204</v>
      </c>
      <c r="E41" t="str">
        <f t="shared" si="0"/>
        <v>302电磁除铁器</v>
      </c>
      <c r="G41" s="22" t="s">
        <v>348</v>
      </c>
      <c r="H41" s="14">
        <v>312</v>
      </c>
      <c r="K41" t="s">
        <v>349</v>
      </c>
      <c r="M41" s="17" t="s">
        <v>350</v>
      </c>
      <c r="N41" s="17" t="s">
        <v>351</v>
      </c>
      <c r="O41" s="17" t="s">
        <v>352</v>
      </c>
      <c r="P41" s="17" t="s">
        <v>353</v>
      </c>
      <c r="Q41" s="17" t="s">
        <v>354</v>
      </c>
      <c r="T41" s="20" t="s">
        <v>1546</v>
      </c>
      <c r="U41" s="20" t="s">
        <v>1547</v>
      </c>
      <c r="V41" s="20" t="s">
        <v>1548</v>
      </c>
      <c r="W41" s="20" t="s">
        <v>1549</v>
      </c>
      <c r="X41" s="20" t="s">
        <v>1550</v>
      </c>
    </row>
    <row r="42" customFormat="1" spans="1:24">
      <c r="A42" t="s">
        <v>1551</v>
      </c>
      <c r="B42" s="3">
        <v>40</v>
      </c>
      <c r="C42" s="26">
        <v>304</v>
      </c>
      <c r="D42" s="21" t="s">
        <v>212</v>
      </c>
      <c r="E42" t="str">
        <f t="shared" si="0"/>
        <v>304原煤分级筛</v>
      </c>
      <c r="G42" s="22" t="s">
        <v>355</v>
      </c>
      <c r="H42" s="14" t="s">
        <v>356</v>
      </c>
      <c r="K42" t="s">
        <v>357</v>
      </c>
      <c r="M42" s="17" t="s">
        <v>358</v>
      </c>
      <c r="N42" s="17" t="s">
        <v>359</v>
      </c>
      <c r="O42" s="17" t="s">
        <v>360</v>
      </c>
      <c r="P42" s="17" t="s">
        <v>361</v>
      </c>
      <c r="Q42" s="17" t="s">
        <v>362</v>
      </c>
      <c r="T42" s="20" t="s">
        <v>1552</v>
      </c>
      <c r="U42" s="20" t="s">
        <v>1553</v>
      </c>
      <c r="V42" s="20" t="s">
        <v>1554</v>
      </c>
      <c r="W42" s="20" t="s">
        <v>1555</v>
      </c>
      <c r="X42" s="20" t="s">
        <v>1556</v>
      </c>
    </row>
    <row r="43" customFormat="1" spans="1:24">
      <c r="A43" t="s">
        <v>1557</v>
      </c>
      <c r="B43" s="3">
        <v>41</v>
      </c>
      <c r="C43" s="26">
        <v>303</v>
      </c>
      <c r="D43" s="21" t="s">
        <v>212</v>
      </c>
      <c r="E43" t="str">
        <f t="shared" si="0"/>
        <v>303原煤分级筛</v>
      </c>
      <c r="G43" s="22" t="s">
        <v>355</v>
      </c>
      <c r="H43" s="14" t="s">
        <v>363</v>
      </c>
      <c r="K43" t="s">
        <v>364</v>
      </c>
      <c r="M43" s="17" t="s">
        <v>365</v>
      </c>
      <c r="N43" s="17" t="s">
        <v>366</v>
      </c>
      <c r="O43" s="17" t="s">
        <v>367</v>
      </c>
      <c r="P43" s="17" t="s">
        <v>368</v>
      </c>
      <c r="Q43" s="17" t="s">
        <v>369</v>
      </c>
      <c r="T43" s="20" t="s">
        <v>1558</v>
      </c>
      <c r="U43" s="20" t="s">
        <v>1559</v>
      </c>
      <c r="V43" s="20" t="s">
        <v>1560</v>
      </c>
      <c r="W43" s="20" t="s">
        <v>1561</v>
      </c>
      <c r="X43" s="20" t="s">
        <v>1562</v>
      </c>
    </row>
    <row r="44" customFormat="1" spans="1:24">
      <c r="A44" t="s">
        <v>1563</v>
      </c>
      <c r="B44" s="3">
        <v>42</v>
      </c>
      <c r="C44" s="26" t="s">
        <v>227</v>
      </c>
      <c r="D44" s="21" t="s">
        <v>226</v>
      </c>
      <c r="E44" t="str">
        <f t="shared" si="0"/>
        <v>310y块精煤离心机油泵电机</v>
      </c>
      <c r="G44" s="22" t="s">
        <v>370</v>
      </c>
      <c r="H44" s="14" t="s">
        <v>371</v>
      </c>
      <c r="K44" t="s">
        <v>372</v>
      </c>
      <c r="M44" s="17" t="s">
        <v>373</v>
      </c>
      <c r="N44" s="17" t="s">
        <v>374</v>
      </c>
      <c r="O44" s="17" t="s">
        <v>375</v>
      </c>
      <c r="P44" s="17" t="s">
        <v>376</v>
      </c>
      <c r="Q44" s="17" t="s">
        <v>377</v>
      </c>
      <c r="T44" s="20" t="s">
        <v>1564</v>
      </c>
      <c r="U44" s="20" t="s">
        <v>1565</v>
      </c>
      <c r="V44" s="20" t="s">
        <v>1566</v>
      </c>
      <c r="W44" s="20" t="s">
        <v>1567</v>
      </c>
      <c r="X44" s="20" t="s">
        <v>1568</v>
      </c>
    </row>
    <row r="45" customFormat="1" spans="1:24">
      <c r="A45" t="s">
        <v>1569</v>
      </c>
      <c r="B45" s="3">
        <v>43</v>
      </c>
      <c r="C45" s="26" t="s">
        <v>235</v>
      </c>
      <c r="D45" s="21" t="s">
        <v>226</v>
      </c>
      <c r="E45" t="str">
        <f t="shared" si="0"/>
        <v>309y块精煤离心机油泵电机</v>
      </c>
      <c r="G45" s="22" t="s">
        <v>370</v>
      </c>
      <c r="H45" s="14" t="s">
        <v>378</v>
      </c>
      <c r="K45" t="s">
        <v>379</v>
      </c>
      <c r="M45" s="17" t="s">
        <v>380</v>
      </c>
      <c r="N45" s="17" t="s">
        <v>381</v>
      </c>
      <c r="O45" s="17" t="s">
        <v>382</v>
      </c>
      <c r="P45" s="17" t="s">
        <v>383</v>
      </c>
      <c r="Q45" s="17" t="s">
        <v>384</v>
      </c>
      <c r="T45" s="20" t="s">
        <v>1570</v>
      </c>
      <c r="U45" s="20" t="s">
        <v>1571</v>
      </c>
      <c r="V45" s="20" t="s">
        <v>1572</v>
      </c>
      <c r="W45" s="20" t="s">
        <v>1573</v>
      </c>
      <c r="X45" s="20" t="s">
        <v>1574</v>
      </c>
    </row>
    <row r="46" customFormat="1" spans="1:24">
      <c r="A46" t="s">
        <v>1575</v>
      </c>
      <c r="B46" s="3">
        <v>44</v>
      </c>
      <c r="C46" s="26" t="s">
        <v>385</v>
      </c>
      <c r="D46" s="21" t="s">
        <v>386</v>
      </c>
      <c r="E46" t="str">
        <f t="shared" si="0"/>
        <v>310Z1块煤离心机振动电机</v>
      </c>
      <c r="G46" s="22" t="s">
        <v>370</v>
      </c>
      <c r="H46" s="14" t="s">
        <v>387</v>
      </c>
      <c r="K46" t="s">
        <v>388</v>
      </c>
      <c r="M46" s="17"/>
      <c r="N46" s="17"/>
      <c r="O46" s="17"/>
      <c r="P46" s="17"/>
      <c r="Q46" s="17"/>
      <c r="T46" s="20"/>
      <c r="U46" s="20"/>
      <c r="V46" s="20"/>
      <c r="W46" s="20"/>
      <c r="X46" s="20"/>
    </row>
    <row r="47" customFormat="1" spans="1:24">
      <c r="A47" t="s">
        <v>1576</v>
      </c>
      <c r="B47" s="3">
        <v>45</v>
      </c>
      <c r="C47" s="26" t="s">
        <v>389</v>
      </c>
      <c r="D47" s="21" t="s">
        <v>386</v>
      </c>
      <c r="E47" t="str">
        <f t="shared" si="0"/>
        <v>310z2块煤离心机振动电机</v>
      </c>
      <c r="G47" s="22" t="s">
        <v>370</v>
      </c>
      <c r="H47" s="14" t="s">
        <v>390</v>
      </c>
      <c r="K47" t="s">
        <v>391</v>
      </c>
      <c r="M47" s="17"/>
      <c r="N47" s="17"/>
      <c r="O47" s="17"/>
      <c r="P47" s="17"/>
      <c r="Q47" s="17"/>
      <c r="T47" s="20"/>
      <c r="U47" s="20"/>
      <c r="V47" s="20"/>
      <c r="W47" s="20"/>
      <c r="X47" s="20"/>
    </row>
    <row r="48" customFormat="1" spans="1:24">
      <c r="A48" t="s">
        <v>1577</v>
      </c>
      <c r="B48" s="3">
        <v>46</v>
      </c>
      <c r="C48" s="26">
        <v>310</v>
      </c>
      <c r="D48" s="21" t="s">
        <v>263</v>
      </c>
      <c r="E48" t="str">
        <f t="shared" si="0"/>
        <v>310块精煤离心机</v>
      </c>
      <c r="G48" s="22" t="s">
        <v>370</v>
      </c>
      <c r="H48" s="14" t="s">
        <v>392</v>
      </c>
      <c r="K48" t="s">
        <v>393</v>
      </c>
      <c r="M48" s="17" t="s">
        <v>394</v>
      </c>
      <c r="N48" s="17" t="s">
        <v>395</v>
      </c>
      <c r="O48" s="17" t="s">
        <v>396</v>
      </c>
      <c r="P48" s="17" t="s">
        <v>397</v>
      </c>
      <c r="Q48" s="17" t="s">
        <v>398</v>
      </c>
      <c r="T48" s="20" t="s">
        <v>1578</v>
      </c>
      <c r="U48" s="20" t="s">
        <v>1579</v>
      </c>
      <c r="V48" s="20" t="s">
        <v>1580</v>
      </c>
      <c r="W48" s="20" t="s">
        <v>1581</v>
      </c>
      <c r="X48" s="20" t="s">
        <v>1582</v>
      </c>
    </row>
    <row r="49" customFormat="1" spans="1:24">
      <c r="A49" t="s">
        <v>1583</v>
      </c>
      <c r="B49" s="3">
        <v>47</v>
      </c>
      <c r="C49" s="26">
        <v>309</v>
      </c>
      <c r="D49" s="21" t="s">
        <v>263</v>
      </c>
      <c r="E49" t="str">
        <f t="shared" si="0"/>
        <v>309块精煤离心机</v>
      </c>
      <c r="G49" s="22" t="s">
        <v>370</v>
      </c>
      <c r="H49" s="14" t="s">
        <v>399</v>
      </c>
      <c r="K49" t="s">
        <v>400</v>
      </c>
      <c r="M49" s="17" t="s">
        <v>401</v>
      </c>
      <c r="N49" s="17" t="s">
        <v>402</v>
      </c>
      <c r="O49" s="17" t="s">
        <v>403</v>
      </c>
      <c r="P49" s="17" t="s">
        <v>404</v>
      </c>
      <c r="Q49" s="17" t="s">
        <v>405</v>
      </c>
      <c r="T49" s="20" t="s">
        <v>1584</v>
      </c>
      <c r="U49" s="20" t="s">
        <v>1585</v>
      </c>
      <c r="V49" s="20" t="s">
        <v>1586</v>
      </c>
      <c r="W49" s="20" t="s">
        <v>1587</v>
      </c>
      <c r="X49" s="20" t="s">
        <v>1588</v>
      </c>
    </row>
    <row r="50" customFormat="1" spans="1:24">
      <c r="A50" t="s">
        <v>1589</v>
      </c>
      <c r="B50" s="3">
        <v>48</v>
      </c>
      <c r="C50" s="26">
        <v>357</v>
      </c>
      <c r="D50" s="21" t="s">
        <v>273</v>
      </c>
      <c r="E50" t="str">
        <f t="shared" si="0"/>
        <v>357除尘清水管道泵</v>
      </c>
      <c r="G50" s="22" t="s">
        <v>370</v>
      </c>
      <c r="H50" s="14" t="s">
        <v>406</v>
      </c>
      <c r="K50" t="s">
        <v>407</v>
      </c>
      <c r="M50" s="17" t="s">
        <v>408</v>
      </c>
      <c r="N50" s="17" t="s">
        <v>409</v>
      </c>
      <c r="O50" s="17" t="s">
        <v>410</v>
      </c>
      <c r="P50" s="17" t="s">
        <v>411</v>
      </c>
      <c r="Q50" s="17" t="s">
        <v>412</v>
      </c>
      <c r="T50" s="20" t="s">
        <v>1590</v>
      </c>
      <c r="U50" s="20" t="s">
        <v>1591</v>
      </c>
      <c r="V50" s="20" t="s">
        <v>1592</v>
      </c>
      <c r="W50" s="20" t="s">
        <v>1593</v>
      </c>
      <c r="X50" s="20" t="s">
        <v>1594</v>
      </c>
    </row>
    <row r="51" customFormat="1" spans="1:24">
      <c r="A51" t="s">
        <v>1595</v>
      </c>
      <c r="B51" s="3">
        <v>49</v>
      </c>
      <c r="C51" s="26">
        <v>319</v>
      </c>
      <c r="D51" s="21" t="s">
        <v>413</v>
      </c>
      <c r="E51" t="str">
        <f t="shared" si="0"/>
        <v>319块煤稀介磁选机</v>
      </c>
      <c r="G51" s="22" t="s">
        <v>370</v>
      </c>
      <c r="H51" s="14" t="s">
        <v>414</v>
      </c>
      <c r="K51" t="s">
        <v>415</v>
      </c>
      <c r="M51" s="17" t="s">
        <v>416</v>
      </c>
      <c r="N51" s="17" t="s">
        <v>417</v>
      </c>
      <c r="O51" s="17" t="s">
        <v>418</v>
      </c>
      <c r="P51" s="17" t="s">
        <v>419</v>
      </c>
      <c r="Q51" s="17" t="s">
        <v>420</v>
      </c>
      <c r="T51" s="20" t="s">
        <v>1596</v>
      </c>
      <c r="U51" s="20" t="s">
        <v>1597</v>
      </c>
      <c r="V51" s="20" t="s">
        <v>1598</v>
      </c>
      <c r="W51" s="20" t="s">
        <v>1599</v>
      </c>
      <c r="X51" s="20" t="s">
        <v>1600</v>
      </c>
    </row>
    <row r="52" customFormat="1" spans="1:24">
      <c r="A52" t="s">
        <v>1601</v>
      </c>
      <c r="B52" s="3">
        <v>50</v>
      </c>
      <c r="C52" s="26">
        <v>318</v>
      </c>
      <c r="D52" s="21" t="s">
        <v>282</v>
      </c>
      <c r="E52" t="str">
        <f t="shared" si="0"/>
        <v>318块煤筛介磁选机</v>
      </c>
      <c r="G52" s="22" t="s">
        <v>421</v>
      </c>
      <c r="H52" s="14">
        <v>902</v>
      </c>
      <c r="K52" t="s">
        <v>422</v>
      </c>
      <c r="M52" s="17" t="s">
        <v>423</v>
      </c>
      <c r="N52" s="17" t="s">
        <v>424</v>
      </c>
      <c r="O52" s="17" t="s">
        <v>425</v>
      </c>
      <c r="P52" s="17" t="s">
        <v>426</v>
      </c>
      <c r="Q52" s="17" t="s">
        <v>427</v>
      </c>
      <c r="T52" s="20" t="s">
        <v>1602</v>
      </c>
      <c r="U52" s="20" t="s">
        <v>1603</v>
      </c>
      <c r="V52" s="20" t="s">
        <v>1604</v>
      </c>
      <c r="W52" s="20" t="s">
        <v>1605</v>
      </c>
      <c r="X52" s="20" t="s">
        <v>1606</v>
      </c>
    </row>
    <row r="53" customFormat="1" spans="1:24">
      <c r="A53" t="s">
        <v>1607</v>
      </c>
      <c r="B53" s="3">
        <v>51</v>
      </c>
      <c r="C53" s="26">
        <v>317</v>
      </c>
      <c r="D53" s="21" t="s">
        <v>413</v>
      </c>
      <c r="E53" t="str">
        <f t="shared" si="0"/>
        <v>317块煤稀介磁选机</v>
      </c>
      <c r="G53" s="22" t="s">
        <v>428</v>
      </c>
      <c r="H53" s="14">
        <v>903</v>
      </c>
      <c r="K53" t="s">
        <v>429</v>
      </c>
      <c r="M53" s="17" t="s">
        <v>430</v>
      </c>
      <c r="N53" s="17" t="s">
        <v>431</v>
      </c>
      <c r="O53" s="17" t="s">
        <v>432</v>
      </c>
      <c r="P53" s="17" t="s">
        <v>433</v>
      </c>
      <c r="Q53" s="17" t="s">
        <v>434</v>
      </c>
      <c r="T53" s="20" t="s">
        <v>1608</v>
      </c>
      <c r="U53" s="20" t="s">
        <v>1609</v>
      </c>
      <c r="V53" s="20" t="s">
        <v>1610</v>
      </c>
      <c r="W53" s="20" t="s">
        <v>1611</v>
      </c>
      <c r="X53" s="20" t="s">
        <v>1612</v>
      </c>
    </row>
    <row r="54" customFormat="1" spans="1:24">
      <c r="A54" t="s">
        <v>1613</v>
      </c>
      <c r="B54" s="3">
        <v>52</v>
      </c>
      <c r="C54" s="26">
        <v>320</v>
      </c>
      <c r="D54" s="21" t="s">
        <v>435</v>
      </c>
      <c r="E54" t="str">
        <f t="shared" si="0"/>
        <v>320末煤收集刮板输送机</v>
      </c>
      <c r="G54" s="22" t="s">
        <v>436</v>
      </c>
      <c r="H54" s="14">
        <v>127</v>
      </c>
      <c r="K54" t="s">
        <v>437</v>
      </c>
      <c r="M54" s="17" t="s">
        <v>438</v>
      </c>
      <c r="N54" s="17" t="s">
        <v>439</v>
      </c>
      <c r="O54" s="17" t="s">
        <v>440</v>
      </c>
      <c r="P54" s="17" t="s">
        <v>441</v>
      </c>
      <c r="Q54" s="17" t="s">
        <v>442</v>
      </c>
      <c r="T54" s="20" t="s">
        <v>1614</v>
      </c>
      <c r="U54" s="20" t="s">
        <v>1615</v>
      </c>
      <c r="V54" s="20" t="s">
        <v>1616</v>
      </c>
      <c r="W54" s="20" t="s">
        <v>1617</v>
      </c>
      <c r="X54" s="20" t="s">
        <v>1618</v>
      </c>
    </row>
    <row r="55" customFormat="1" spans="1:24">
      <c r="A55" t="s">
        <v>1619</v>
      </c>
      <c r="B55" s="3">
        <v>53</v>
      </c>
      <c r="C55" s="26">
        <v>321</v>
      </c>
      <c r="D55" s="21" t="s">
        <v>443</v>
      </c>
      <c r="E55" t="str">
        <f t="shared" si="0"/>
        <v>321末煤转载刮板输送机</v>
      </c>
      <c r="G55" s="22" t="s">
        <v>444</v>
      </c>
      <c r="H55" s="14">
        <v>128</v>
      </c>
      <c r="K55" t="s">
        <v>445</v>
      </c>
      <c r="M55" s="17" t="s">
        <v>446</v>
      </c>
      <c r="N55" s="17" t="s">
        <v>447</v>
      </c>
      <c r="O55" s="17" t="s">
        <v>448</v>
      </c>
      <c r="P55" s="17" t="s">
        <v>449</v>
      </c>
      <c r="Q55" s="17" t="s">
        <v>450</v>
      </c>
      <c r="T55" s="20" t="s">
        <v>1620</v>
      </c>
      <c r="U55" s="20" t="s">
        <v>1621</v>
      </c>
      <c r="V55" s="20" t="s">
        <v>1622</v>
      </c>
      <c r="W55" s="20" t="s">
        <v>1623</v>
      </c>
      <c r="X55" s="20" t="s">
        <v>1624</v>
      </c>
    </row>
    <row r="56" customFormat="1" spans="1:24">
      <c r="A56" s="27" t="s">
        <v>1625</v>
      </c>
      <c r="B56" s="3">
        <v>54</v>
      </c>
      <c r="C56" s="28">
        <v>326</v>
      </c>
      <c r="D56" s="29" t="s">
        <v>451</v>
      </c>
      <c r="E56" s="27" t="str">
        <f t="shared" si="0"/>
        <v>326电动葫芦</v>
      </c>
      <c r="F56" s="27"/>
      <c r="G56" s="30" t="s">
        <v>444</v>
      </c>
      <c r="H56" s="31">
        <v>129</v>
      </c>
      <c r="I56" s="27"/>
      <c r="J56" s="27"/>
      <c r="K56" s="27" t="s">
        <v>452</v>
      </c>
      <c r="L56" s="27"/>
      <c r="M56" s="32" t="s">
        <v>453</v>
      </c>
      <c r="N56" s="32" t="s">
        <v>454</v>
      </c>
      <c r="O56" s="32" t="s">
        <v>455</v>
      </c>
      <c r="P56" s="32" t="s">
        <v>456</v>
      </c>
      <c r="Q56" s="32" t="s">
        <v>457</v>
      </c>
      <c r="T56" s="33" t="s">
        <v>1626</v>
      </c>
      <c r="U56" s="33" t="s">
        <v>1627</v>
      </c>
      <c r="V56" s="33" t="s">
        <v>1628</v>
      </c>
      <c r="W56" s="33"/>
      <c r="X56" s="33"/>
    </row>
    <row r="57" customFormat="1" spans="1:24">
      <c r="A57" t="s">
        <v>1629</v>
      </c>
      <c r="B57" s="3">
        <v>55</v>
      </c>
      <c r="C57" s="26">
        <v>327</v>
      </c>
      <c r="D57" s="21" t="s">
        <v>291</v>
      </c>
      <c r="E57" t="str">
        <f t="shared" si="0"/>
        <v>327中介系统排污泵</v>
      </c>
      <c r="G57" s="22" t="s">
        <v>444</v>
      </c>
      <c r="H57" s="14">
        <v>130</v>
      </c>
      <c r="K57" t="s">
        <v>458</v>
      </c>
      <c r="M57" s="17" t="s">
        <v>459</v>
      </c>
      <c r="N57" s="17" t="s">
        <v>460</v>
      </c>
      <c r="O57" s="17" t="s">
        <v>461</v>
      </c>
      <c r="P57" s="17" t="s">
        <v>462</v>
      </c>
      <c r="Q57" s="17" t="s">
        <v>463</v>
      </c>
      <c r="T57" s="20" t="s">
        <v>1630</v>
      </c>
      <c r="U57" s="20" t="s">
        <v>1631</v>
      </c>
      <c r="V57" s="20" t="s">
        <v>1632</v>
      </c>
      <c r="W57" s="20" t="s">
        <v>1633</v>
      </c>
      <c r="X57" s="20" t="s">
        <v>1634</v>
      </c>
    </row>
    <row r="58" customFormat="1" spans="1:24">
      <c r="A58" t="s">
        <v>1635</v>
      </c>
      <c r="B58" s="3">
        <v>56</v>
      </c>
      <c r="C58" s="26">
        <v>307</v>
      </c>
      <c r="D58" s="21" t="s">
        <v>299</v>
      </c>
      <c r="E58" t="str">
        <f t="shared" si="0"/>
        <v>307浅槽分选机</v>
      </c>
      <c r="G58" s="22" t="s">
        <v>444</v>
      </c>
      <c r="H58" s="14">
        <v>131</v>
      </c>
      <c r="K58" t="s">
        <v>464</v>
      </c>
      <c r="M58" s="17" t="s">
        <v>465</v>
      </c>
      <c r="N58" s="17" t="s">
        <v>466</v>
      </c>
      <c r="O58" s="17" t="s">
        <v>467</v>
      </c>
      <c r="P58" s="17" t="s">
        <v>468</v>
      </c>
      <c r="Q58" s="17" t="s">
        <v>469</v>
      </c>
      <c r="T58" s="20" t="s">
        <v>1636</v>
      </c>
      <c r="U58" s="20" t="s">
        <v>1637</v>
      </c>
      <c r="V58" s="20" t="s">
        <v>1638</v>
      </c>
      <c r="W58" s="20" t="s">
        <v>1639</v>
      </c>
      <c r="X58" s="20" t="s">
        <v>1640</v>
      </c>
    </row>
    <row r="59" customFormat="1" spans="1:24">
      <c r="A59" t="s">
        <v>1641</v>
      </c>
      <c r="B59" s="3">
        <v>57</v>
      </c>
      <c r="C59" s="26">
        <v>306</v>
      </c>
      <c r="D59" s="21" t="s">
        <v>307</v>
      </c>
      <c r="E59" t="str">
        <f t="shared" si="0"/>
        <v>306块煤脱泥筛</v>
      </c>
      <c r="G59" s="22" t="s">
        <v>444</v>
      </c>
      <c r="H59" s="14">
        <v>132</v>
      </c>
      <c r="K59" t="s">
        <v>470</v>
      </c>
      <c r="M59" s="17" t="s">
        <v>471</v>
      </c>
      <c r="N59" s="17" t="s">
        <v>472</v>
      </c>
      <c r="O59" s="17" t="s">
        <v>473</v>
      </c>
      <c r="P59" s="17" t="s">
        <v>474</v>
      </c>
      <c r="Q59" s="17" t="s">
        <v>475</v>
      </c>
      <c r="T59" s="20" t="s">
        <v>1642</v>
      </c>
      <c r="U59" s="20" t="s">
        <v>1643</v>
      </c>
      <c r="V59" s="20" t="s">
        <v>1644</v>
      </c>
      <c r="W59" s="20" t="s">
        <v>1645</v>
      </c>
      <c r="X59" s="20" t="s">
        <v>1646</v>
      </c>
    </row>
    <row r="60" customFormat="1" spans="1:24">
      <c r="A60" t="s">
        <v>1647</v>
      </c>
      <c r="B60" s="3">
        <v>58</v>
      </c>
      <c r="C60" s="26">
        <v>305</v>
      </c>
      <c r="D60" s="21" t="s">
        <v>307</v>
      </c>
      <c r="E60" t="str">
        <f t="shared" si="0"/>
        <v>305块煤脱泥筛</v>
      </c>
      <c r="G60" s="22" t="s">
        <v>476</v>
      </c>
      <c r="H60" s="14" t="s">
        <v>477</v>
      </c>
      <c r="K60" t="s">
        <v>478</v>
      </c>
      <c r="M60" s="17" t="s">
        <v>479</v>
      </c>
      <c r="N60" s="17" t="s">
        <v>480</v>
      </c>
      <c r="O60" s="17" t="s">
        <v>481</v>
      </c>
      <c r="P60" s="17" t="s">
        <v>482</v>
      </c>
      <c r="Q60" s="17" t="s">
        <v>483</v>
      </c>
      <c r="T60" s="20" t="s">
        <v>1648</v>
      </c>
      <c r="U60" s="20" t="s">
        <v>1649</v>
      </c>
      <c r="V60" s="20" t="s">
        <v>1650</v>
      </c>
      <c r="W60" s="20" t="s">
        <v>1651</v>
      </c>
      <c r="X60" s="20" t="s">
        <v>1652</v>
      </c>
    </row>
    <row r="61" customFormat="1" spans="1:24">
      <c r="A61" t="s">
        <v>1653</v>
      </c>
      <c r="B61" s="3">
        <v>59</v>
      </c>
      <c r="C61" s="26" t="s">
        <v>323</v>
      </c>
      <c r="D61" s="34" t="s">
        <v>322</v>
      </c>
      <c r="E61" t="str">
        <f t="shared" si="0"/>
        <v>323B加介泵</v>
      </c>
      <c r="G61" s="22" t="s">
        <v>484</v>
      </c>
      <c r="H61" s="14" t="s">
        <v>485</v>
      </c>
      <c r="K61" t="s">
        <v>486</v>
      </c>
      <c r="M61" s="35" t="s">
        <v>487</v>
      </c>
      <c r="N61" s="35" t="s">
        <v>488</v>
      </c>
      <c r="O61" s="35" t="s">
        <v>489</v>
      </c>
      <c r="P61" s="35" t="s">
        <v>490</v>
      </c>
      <c r="Q61" s="35" t="s">
        <v>491</v>
      </c>
      <c r="T61" s="36" t="s">
        <v>1654</v>
      </c>
      <c r="U61" s="36" t="s">
        <v>1655</v>
      </c>
      <c r="V61" s="36" t="s">
        <v>1656</v>
      </c>
      <c r="W61" s="36" t="s">
        <v>1657</v>
      </c>
      <c r="X61" s="36" t="s">
        <v>1658</v>
      </c>
    </row>
    <row r="62" customFormat="1" spans="1:24">
      <c r="A62" t="s">
        <v>1659</v>
      </c>
      <c r="B62" s="3">
        <v>60</v>
      </c>
      <c r="C62" s="26" t="s">
        <v>492</v>
      </c>
      <c r="D62" s="34" t="s">
        <v>322</v>
      </c>
      <c r="E62" t="str">
        <f t="shared" si="0"/>
        <v>323A加介泵</v>
      </c>
      <c r="G62" s="22" t="s">
        <v>493</v>
      </c>
      <c r="H62" s="14">
        <v>316</v>
      </c>
      <c r="K62" t="s">
        <v>494</v>
      </c>
      <c r="M62" s="35" t="s">
        <v>495</v>
      </c>
      <c r="N62" s="35" t="s">
        <v>496</v>
      </c>
      <c r="O62" s="35" t="s">
        <v>497</v>
      </c>
      <c r="P62" s="35" t="s">
        <v>498</v>
      </c>
      <c r="Q62" s="35" t="s">
        <v>499</v>
      </c>
      <c r="T62" s="36" t="s">
        <v>1660</v>
      </c>
      <c r="U62" s="36" t="s">
        <v>1661</v>
      </c>
      <c r="V62" s="36" t="s">
        <v>1662</v>
      </c>
      <c r="W62" s="36" t="s">
        <v>1663</v>
      </c>
      <c r="X62" s="36" t="s">
        <v>1664</v>
      </c>
    </row>
    <row r="63" customFormat="1" spans="1:24">
      <c r="A63" t="s">
        <v>1665</v>
      </c>
      <c r="B63" s="3">
        <v>61</v>
      </c>
      <c r="C63" s="3" t="s">
        <v>333</v>
      </c>
      <c r="D63" s="21" t="s">
        <v>332</v>
      </c>
      <c r="E63" t="str">
        <f t="shared" si="0"/>
        <v>SWQ2降尘射雾器</v>
      </c>
      <c r="G63" s="22" t="s">
        <v>500</v>
      </c>
      <c r="H63" s="14">
        <v>332</v>
      </c>
      <c r="K63" t="s">
        <v>501</v>
      </c>
      <c r="M63" s="37" t="s">
        <v>502</v>
      </c>
      <c r="N63" s="37" t="s">
        <v>503</v>
      </c>
      <c r="O63" s="37" t="s">
        <v>504</v>
      </c>
      <c r="P63" s="35" t="s">
        <v>505</v>
      </c>
      <c r="Q63" s="35" t="s">
        <v>506</v>
      </c>
      <c r="T63" s="38" t="s">
        <v>1666</v>
      </c>
      <c r="U63" s="38" t="s">
        <v>1667</v>
      </c>
      <c r="V63" s="38" t="s">
        <v>1668</v>
      </c>
      <c r="W63" s="36" t="s">
        <v>1669</v>
      </c>
      <c r="X63" s="36" t="s">
        <v>1670</v>
      </c>
    </row>
    <row r="64" customFormat="1" spans="1:24">
      <c r="A64" t="s">
        <v>1671</v>
      </c>
      <c r="B64" s="3">
        <v>62</v>
      </c>
      <c r="C64" s="3" t="s">
        <v>341</v>
      </c>
      <c r="D64" s="21" t="s">
        <v>332</v>
      </c>
      <c r="E64" t="str">
        <f t="shared" si="0"/>
        <v>SWQ1降尘射雾器</v>
      </c>
      <c r="G64" s="22" t="s">
        <v>507</v>
      </c>
      <c r="H64" s="14">
        <v>343</v>
      </c>
      <c r="K64" t="s">
        <v>508</v>
      </c>
      <c r="M64" s="35" t="s">
        <v>495</v>
      </c>
      <c r="N64" s="35" t="s">
        <v>509</v>
      </c>
      <c r="O64" s="35" t="s">
        <v>497</v>
      </c>
      <c r="P64" s="35" t="s">
        <v>510</v>
      </c>
      <c r="Q64" s="35" t="s">
        <v>511</v>
      </c>
      <c r="T64" s="36" t="s">
        <v>1660</v>
      </c>
      <c r="U64" s="36" t="s">
        <v>1672</v>
      </c>
      <c r="V64" s="36" t="s">
        <v>1662</v>
      </c>
      <c r="W64" s="36" t="s">
        <v>1673</v>
      </c>
      <c r="X64" s="36" t="s">
        <v>1674</v>
      </c>
    </row>
    <row r="65" customFormat="1" spans="1:24">
      <c r="A65" t="s">
        <v>1675</v>
      </c>
      <c r="B65" s="3">
        <v>63</v>
      </c>
      <c r="C65" s="3" t="s">
        <v>512</v>
      </c>
      <c r="D65" s="21" t="s">
        <v>331</v>
      </c>
      <c r="E65" t="str">
        <f t="shared" si="0"/>
        <v>310/A排料溜槽电液动闸门</v>
      </c>
      <c r="G65" s="22" t="s">
        <v>507</v>
      </c>
      <c r="H65" s="14">
        <v>342</v>
      </c>
      <c r="K65" t="s">
        <v>513</v>
      </c>
      <c r="M65" s="35" t="s">
        <v>514</v>
      </c>
      <c r="N65" s="35" t="s">
        <v>515</v>
      </c>
      <c r="O65" s="35" t="s">
        <v>516</v>
      </c>
      <c r="P65" s="35" t="s">
        <v>517</v>
      </c>
      <c r="Q65" s="35" t="s">
        <v>518</v>
      </c>
      <c r="T65" s="36" t="s">
        <v>1676</v>
      </c>
      <c r="U65" s="36" t="s">
        <v>1677</v>
      </c>
      <c r="V65" s="36" t="s">
        <v>1678</v>
      </c>
      <c r="W65" s="36" t="s">
        <v>1679</v>
      </c>
      <c r="X65" s="36" t="s">
        <v>1680</v>
      </c>
    </row>
    <row r="66" customFormat="1" spans="1:24">
      <c r="A66" t="s">
        <v>1681</v>
      </c>
      <c r="B66" s="3">
        <v>64</v>
      </c>
      <c r="C66" s="3" t="s">
        <v>519</v>
      </c>
      <c r="D66" s="21" t="s">
        <v>331</v>
      </c>
      <c r="E66" t="str">
        <f t="shared" si="0"/>
        <v>309/A排料溜槽电液动闸门</v>
      </c>
      <c r="G66" s="22" t="s">
        <v>520</v>
      </c>
      <c r="H66" s="14">
        <v>341</v>
      </c>
      <c r="K66" t="s">
        <v>521</v>
      </c>
      <c r="M66" s="35" t="s">
        <v>522</v>
      </c>
      <c r="N66" s="35" t="s">
        <v>523</v>
      </c>
      <c r="O66" s="35" t="s">
        <v>524</v>
      </c>
      <c r="P66" s="35" t="s">
        <v>525</v>
      </c>
      <c r="Q66" s="35" t="s">
        <v>526</v>
      </c>
      <c r="T66" s="36" t="s">
        <v>1682</v>
      </c>
      <c r="U66" s="36" t="s">
        <v>1683</v>
      </c>
      <c r="V66" s="36" t="s">
        <v>1684</v>
      </c>
      <c r="W66" s="36" t="s">
        <v>1685</v>
      </c>
      <c r="X66" s="36" t="s">
        <v>1686</v>
      </c>
    </row>
    <row r="67" customFormat="1" spans="1:24">
      <c r="A67" t="s">
        <v>1687</v>
      </c>
      <c r="B67" s="3">
        <v>65</v>
      </c>
      <c r="C67" s="26">
        <v>312</v>
      </c>
      <c r="D67" s="21" t="s">
        <v>348</v>
      </c>
      <c r="E67" t="str">
        <f t="shared" si="0"/>
        <v>312块矸石脱介筛</v>
      </c>
      <c r="G67" s="22" t="s">
        <v>76</v>
      </c>
      <c r="H67" s="14" t="s">
        <v>527</v>
      </c>
      <c r="K67" t="s">
        <v>528</v>
      </c>
      <c r="M67" s="17" t="s">
        <v>529</v>
      </c>
      <c r="N67" s="17" t="s">
        <v>530</v>
      </c>
      <c r="O67" s="17" t="s">
        <v>531</v>
      </c>
      <c r="P67" s="17" t="s">
        <v>532</v>
      </c>
      <c r="Q67" s="17" t="s">
        <v>533</v>
      </c>
      <c r="T67" s="20" t="s">
        <v>1688</v>
      </c>
      <c r="U67" s="20" t="s">
        <v>1689</v>
      </c>
      <c r="V67" s="20" t="s">
        <v>1690</v>
      </c>
      <c r="W67" s="20" t="s">
        <v>1691</v>
      </c>
      <c r="X67" s="20" t="s">
        <v>1692</v>
      </c>
    </row>
    <row r="68" customFormat="1" spans="1:24">
      <c r="A68" t="s">
        <v>1693</v>
      </c>
      <c r="B68" s="3">
        <v>66</v>
      </c>
      <c r="C68" s="26" t="s">
        <v>356</v>
      </c>
      <c r="D68" s="21" t="s">
        <v>355</v>
      </c>
      <c r="E68" t="str">
        <f t="shared" si="0"/>
        <v>308B块精煤脱介筛</v>
      </c>
      <c r="G68" s="22" t="s">
        <v>76</v>
      </c>
      <c r="H68" s="14" t="s">
        <v>534</v>
      </c>
      <c r="K68" t="s">
        <v>535</v>
      </c>
      <c r="M68" s="17"/>
      <c r="N68" s="17"/>
      <c r="O68" s="17"/>
      <c r="P68" s="35" t="s">
        <v>536</v>
      </c>
      <c r="Q68" s="35" t="s">
        <v>537</v>
      </c>
      <c r="T68" s="20"/>
      <c r="U68" s="20"/>
      <c r="V68" s="20"/>
      <c r="W68" s="36" t="s">
        <v>1694</v>
      </c>
      <c r="X68" s="36" t="s">
        <v>1695</v>
      </c>
    </row>
    <row r="69" customFormat="1" spans="1:24">
      <c r="A69" t="s">
        <v>1696</v>
      </c>
      <c r="B69" s="3">
        <v>67</v>
      </c>
      <c r="C69" s="26" t="s">
        <v>363</v>
      </c>
      <c r="D69" s="21" t="s">
        <v>355</v>
      </c>
      <c r="E69" t="str">
        <f t="shared" si="0"/>
        <v>308A块精煤脱介筛</v>
      </c>
      <c r="G69" s="22" t="s">
        <v>538</v>
      </c>
      <c r="H69" s="14">
        <v>334</v>
      </c>
      <c r="K69" t="s">
        <v>539</v>
      </c>
      <c r="M69" s="17"/>
      <c r="N69" s="17"/>
      <c r="O69" s="17"/>
      <c r="P69" s="17"/>
      <c r="Q69" s="17"/>
      <c r="T69" s="20"/>
      <c r="U69" s="20"/>
      <c r="V69" s="20"/>
      <c r="W69" s="20"/>
      <c r="X69" s="20"/>
    </row>
    <row r="70" customFormat="1" spans="1:24">
      <c r="A70" t="s">
        <v>1697</v>
      </c>
      <c r="B70" s="3">
        <v>68</v>
      </c>
      <c r="C70" s="26" t="s">
        <v>371</v>
      </c>
      <c r="D70" s="21" t="s">
        <v>370</v>
      </c>
      <c r="E70" t="str">
        <f t="shared" si="0"/>
        <v>902f带式给煤机风扇电机</v>
      </c>
      <c r="G70" s="22" t="s">
        <v>540</v>
      </c>
      <c r="H70" s="14" t="s">
        <v>541</v>
      </c>
      <c r="K70" t="s">
        <v>542</v>
      </c>
      <c r="M70" s="17" t="s">
        <v>543</v>
      </c>
      <c r="N70" s="17" t="s">
        <v>544</v>
      </c>
      <c r="O70" s="17" t="s">
        <v>545</v>
      </c>
      <c r="P70" s="17" t="s">
        <v>546</v>
      </c>
      <c r="Q70" s="17" t="s">
        <v>547</v>
      </c>
      <c r="T70" s="20" t="s">
        <v>1698</v>
      </c>
      <c r="U70" s="20" t="s">
        <v>1699</v>
      </c>
      <c r="V70" s="20" t="s">
        <v>1700</v>
      </c>
      <c r="W70" s="20" t="s">
        <v>1701</v>
      </c>
      <c r="X70" s="20" t="s">
        <v>1702</v>
      </c>
    </row>
    <row r="71" customFormat="1" spans="1:24">
      <c r="A71" t="s">
        <v>1703</v>
      </c>
      <c r="B71" s="3">
        <v>69</v>
      </c>
      <c r="C71" s="26" t="s">
        <v>378</v>
      </c>
      <c r="D71" s="21" t="s">
        <v>370</v>
      </c>
      <c r="E71" t="str">
        <f t="shared" si="0"/>
        <v>903f带式给煤机风扇电机</v>
      </c>
      <c r="G71" s="22" t="s">
        <v>548</v>
      </c>
      <c r="H71" s="14">
        <v>336</v>
      </c>
      <c r="K71" t="s">
        <v>549</v>
      </c>
      <c r="M71" s="17" t="s">
        <v>550</v>
      </c>
      <c r="N71" s="17" t="s">
        <v>551</v>
      </c>
      <c r="O71" s="17" t="s">
        <v>552</v>
      </c>
      <c r="P71" s="17" t="s">
        <v>553</v>
      </c>
      <c r="Q71" s="17" t="s">
        <v>554</v>
      </c>
      <c r="T71" s="20" t="s">
        <v>1704</v>
      </c>
      <c r="U71" s="20" t="s">
        <v>1705</v>
      </c>
      <c r="V71" s="20" t="s">
        <v>1706</v>
      </c>
      <c r="W71" s="20" t="s">
        <v>1707</v>
      </c>
      <c r="X71" s="20" t="s">
        <v>1708</v>
      </c>
    </row>
    <row r="72" customFormat="1" spans="1:24">
      <c r="A72" t="s">
        <v>1709</v>
      </c>
      <c r="B72" s="3">
        <v>70</v>
      </c>
      <c r="C72" s="26" t="s">
        <v>387</v>
      </c>
      <c r="D72" s="21" t="s">
        <v>370</v>
      </c>
      <c r="E72" t="str">
        <f t="shared" si="0"/>
        <v>127f带式给煤机风扇电机</v>
      </c>
      <c r="G72" s="39" t="s">
        <v>555</v>
      </c>
      <c r="H72" s="40" t="s">
        <v>556</v>
      </c>
      <c r="K72" t="s">
        <v>557</v>
      </c>
      <c r="M72" s="17" t="s">
        <v>558</v>
      </c>
      <c r="N72" s="17" t="s">
        <v>559</v>
      </c>
      <c r="O72" s="17" t="s">
        <v>560</v>
      </c>
      <c r="P72" s="17" t="s">
        <v>561</v>
      </c>
      <c r="Q72" s="17" t="s">
        <v>562</v>
      </c>
      <c r="T72" s="20" t="s">
        <v>1710</v>
      </c>
      <c r="U72" s="20" t="s">
        <v>1711</v>
      </c>
      <c r="V72" s="20" t="s">
        <v>1712</v>
      </c>
      <c r="W72" s="20" t="s">
        <v>1713</v>
      </c>
      <c r="X72" s="20" t="s">
        <v>1714</v>
      </c>
    </row>
    <row r="73" customFormat="1" spans="1:24">
      <c r="A73" t="s">
        <v>1715</v>
      </c>
      <c r="B73" s="3">
        <v>71</v>
      </c>
      <c r="C73" s="26" t="s">
        <v>390</v>
      </c>
      <c r="D73" s="21" t="s">
        <v>370</v>
      </c>
      <c r="E73" t="str">
        <f t="shared" si="0"/>
        <v>128f带式给煤机风扇电机</v>
      </c>
      <c r="G73" s="22" t="s">
        <v>563</v>
      </c>
      <c r="H73" s="14" t="s">
        <v>564</v>
      </c>
      <c r="K73" t="s">
        <v>565</v>
      </c>
      <c r="M73" s="17" t="s">
        <v>566</v>
      </c>
      <c r="N73" s="17" t="s">
        <v>567</v>
      </c>
      <c r="O73" s="17" t="s">
        <v>568</v>
      </c>
      <c r="P73" s="17" t="s">
        <v>569</v>
      </c>
      <c r="Q73" s="17" t="s">
        <v>570</v>
      </c>
      <c r="T73" s="20" t="s">
        <v>1716</v>
      </c>
      <c r="U73" s="20" t="s">
        <v>1717</v>
      </c>
      <c r="V73" s="20" t="s">
        <v>1718</v>
      </c>
      <c r="W73" s="20" t="s">
        <v>1509</v>
      </c>
      <c r="X73" s="20" t="s">
        <v>1719</v>
      </c>
    </row>
    <row r="74" customFormat="1" spans="1:24">
      <c r="A74" t="s">
        <v>1720</v>
      </c>
      <c r="B74" s="3">
        <v>72</v>
      </c>
      <c r="C74" s="26" t="s">
        <v>392</v>
      </c>
      <c r="D74" s="21" t="s">
        <v>370</v>
      </c>
      <c r="E74" t="str">
        <f t="shared" si="0"/>
        <v>129f带式给煤机风扇电机</v>
      </c>
      <c r="G74" s="22" t="s">
        <v>571</v>
      </c>
      <c r="H74" s="14">
        <v>352</v>
      </c>
      <c r="K74" t="s">
        <v>572</v>
      </c>
      <c r="M74" s="17" t="s">
        <v>573</v>
      </c>
      <c r="N74" s="17" t="s">
        <v>574</v>
      </c>
      <c r="O74" s="17" t="s">
        <v>575</v>
      </c>
      <c r="P74" s="17" t="s">
        <v>576</v>
      </c>
      <c r="Q74" s="17" t="s">
        <v>577</v>
      </c>
      <c r="T74" s="20" t="s">
        <v>1721</v>
      </c>
      <c r="U74" s="20" t="s">
        <v>1722</v>
      </c>
      <c r="V74" s="20" t="s">
        <v>1723</v>
      </c>
      <c r="W74" s="20" t="s">
        <v>1490</v>
      </c>
      <c r="X74" s="20" t="s">
        <v>1724</v>
      </c>
    </row>
    <row r="75" customFormat="1" spans="1:24">
      <c r="A75" t="s">
        <v>1725</v>
      </c>
      <c r="B75" s="3">
        <v>73</v>
      </c>
      <c r="C75" s="26" t="s">
        <v>399</v>
      </c>
      <c r="D75" s="21" t="s">
        <v>370</v>
      </c>
      <c r="E75" t="str">
        <f t="shared" si="0"/>
        <v>130f带式给煤机风扇电机</v>
      </c>
      <c r="G75" s="22" t="s">
        <v>578</v>
      </c>
      <c r="H75" s="14" t="s">
        <v>579</v>
      </c>
      <c r="K75" t="s">
        <v>580</v>
      </c>
      <c r="M75" s="17" t="s">
        <v>581</v>
      </c>
      <c r="N75" s="17" t="s">
        <v>582</v>
      </c>
      <c r="O75" s="17" t="s">
        <v>583</v>
      </c>
      <c r="P75" s="17" t="s">
        <v>584</v>
      </c>
      <c r="Q75" s="17" t="s">
        <v>585</v>
      </c>
      <c r="T75" s="20" t="s">
        <v>1726</v>
      </c>
      <c r="U75" s="20" t="s">
        <v>1727</v>
      </c>
      <c r="V75" s="20" t="s">
        <v>1728</v>
      </c>
      <c r="W75" s="20" t="s">
        <v>1729</v>
      </c>
      <c r="X75" s="20" t="s">
        <v>1491</v>
      </c>
    </row>
    <row r="76" customFormat="1" spans="1:24">
      <c r="A76" t="s">
        <v>1730</v>
      </c>
      <c r="B76" s="3">
        <v>74</v>
      </c>
      <c r="C76" s="26" t="s">
        <v>406</v>
      </c>
      <c r="D76" s="21" t="s">
        <v>370</v>
      </c>
      <c r="E76" t="str">
        <f t="shared" si="0"/>
        <v>131f带式给煤机风扇电机</v>
      </c>
      <c r="G76" s="22" t="s">
        <v>586</v>
      </c>
      <c r="H76" s="14">
        <v>354</v>
      </c>
      <c r="K76" t="s">
        <v>587</v>
      </c>
      <c r="M76" s="17" t="s">
        <v>588</v>
      </c>
      <c r="N76" s="17" t="s">
        <v>589</v>
      </c>
      <c r="O76" s="17" t="s">
        <v>590</v>
      </c>
      <c r="P76" s="17" t="s">
        <v>591</v>
      </c>
      <c r="Q76" s="17" t="s">
        <v>592</v>
      </c>
      <c r="T76" s="20" t="s">
        <v>1731</v>
      </c>
      <c r="U76" s="20" t="s">
        <v>1732</v>
      </c>
      <c r="V76" s="20" t="s">
        <v>1733</v>
      </c>
      <c r="W76" s="20" t="s">
        <v>1480</v>
      </c>
      <c r="X76" s="20" t="s">
        <v>1486</v>
      </c>
    </row>
    <row r="77" customFormat="1" spans="1:24">
      <c r="A77" t="s">
        <v>1734</v>
      </c>
      <c r="B77" s="3">
        <v>75</v>
      </c>
      <c r="C77" s="26" t="s">
        <v>414</v>
      </c>
      <c r="D77" s="21" t="s">
        <v>370</v>
      </c>
      <c r="E77" t="str">
        <f t="shared" si="0"/>
        <v>132f带式给煤机风扇电机</v>
      </c>
      <c r="G77" s="22" t="s">
        <v>593</v>
      </c>
      <c r="H77" s="14" t="s">
        <v>594</v>
      </c>
      <c r="K77" t="s">
        <v>595</v>
      </c>
      <c r="M77" s="17" t="s">
        <v>596</v>
      </c>
      <c r="N77" s="17" t="s">
        <v>597</v>
      </c>
      <c r="O77" s="17" t="s">
        <v>598</v>
      </c>
      <c r="P77" s="17" t="s">
        <v>599</v>
      </c>
      <c r="Q77" s="17" t="s">
        <v>600</v>
      </c>
      <c r="T77" s="20" t="s">
        <v>1735</v>
      </c>
      <c r="U77" s="20" t="s">
        <v>1736</v>
      </c>
      <c r="V77" s="20" t="s">
        <v>1737</v>
      </c>
      <c r="W77" s="20" t="s">
        <v>1738</v>
      </c>
      <c r="X77" s="20" t="s">
        <v>1739</v>
      </c>
    </row>
    <row r="78" customFormat="1" spans="1:24">
      <c r="A78" t="s">
        <v>1740</v>
      </c>
      <c r="B78" s="3">
        <v>76</v>
      </c>
      <c r="C78" s="3">
        <v>902</v>
      </c>
      <c r="D78" s="21" t="s">
        <v>421</v>
      </c>
      <c r="E78" t="str">
        <f t="shared" si="0"/>
        <v>902矸石仓下带式给煤机</v>
      </c>
      <c r="G78" s="22" t="s">
        <v>593</v>
      </c>
      <c r="H78" s="14" t="s">
        <v>601</v>
      </c>
      <c r="K78" t="s">
        <v>602</v>
      </c>
      <c r="M78" s="17" t="s">
        <v>603</v>
      </c>
      <c r="N78" s="17" t="s">
        <v>603</v>
      </c>
      <c r="O78" s="17" t="s">
        <v>604</v>
      </c>
      <c r="P78" s="17" t="s">
        <v>605</v>
      </c>
      <c r="Q78" s="17" t="s">
        <v>606</v>
      </c>
      <c r="T78" s="20" t="s">
        <v>1741</v>
      </c>
      <c r="U78" s="20" t="s">
        <v>1741</v>
      </c>
      <c r="V78" s="20" t="s">
        <v>1742</v>
      </c>
      <c r="W78" s="20" t="s">
        <v>1743</v>
      </c>
      <c r="X78" s="20" t="s">
        <v>1744</v>
      </c>
    </row>
    <row r="79" customFormat="1" spans="1:24">
      <c r="A79" t="s">
        <v>1745</v>
      </c>
      <c r="B79" s="3">
        <v>77</v>
      </c>
      <c r="C79" s="3">
        <v>903</v>
      </c>
      <c r="D79" s="21" t="s">
        <v>428</v>
      </c>
      <c r="E79" t="str">
        <f t="shared" si="0"/>
        <v>903矸石仓带式给煤机</v>
      </c>
      <c r="G79" s="22" t="s">
        <v>607</v>
      </c>
      <c r="H79" s="14">
        <v>328</v>
      </c>
      <c r="K79" t="s">
        <v>608</v>
      </c>
      <c r="M79" s="17" t="s">
        <v>609</v>
      </c>
      <c r="N79" s="17" t="s">
        <v>610</v>
      </c>
      <c r="O79" s="17" t="s">
        <v>611</v>
      </c>
      <c r="P79" s="17" t="s">
        <v>612</v>
      </c>
      <c r="Q79" s="17" t="s">
        <v>613</v>
      </c>
      <c r="T79" s="20" t="s">
        <v>1746</v>
      </c>
      <c r="U79" s="20" t="s">
        <v>1747</v>
      </c>
      <c r="V79" s="20" t="s">
        <v>1748</v>
      </c>
      <c r="W79" s="20" t="s">
        <v>1749</v>
      </c>
      <c r="X79" s="20" t="s">
        <v>1750</v>
      </c>
    </row>
    <row r="80" customFormat="1" spans="1:24">
      <c r="A80" t="s">
        <v>1751</v>
      </c>
      <c r="B80" s="3">
        <v>78</v>
      </c>
      <c r="C80" s="3">
        <v>127</v>
      </c>
      <c r="D80" s="21" t="s">
        <v>436</v>
      </c>
      <c r="E80" t="str">
        <f t="shared" si="0"/>
        <v>127原煤缓冲仓下带式给煤机</v>
      </c>
      <c r="G80" s="22" t="s">
        <v>614</v>
      </c>
      <c r="H80" s="14">
        <v>356</v>
      </c>
      <c r="K80" t="s">
        <v>615</v>
      </c>
      <c r="M80" s="17" t="s">
        <v>609</v>
      </c>
      <c r="N80" s="17" t="s">
        <v>616</v>
      </c>
      <c r="O80" s="17" t="s">
        <v>611</v>
      </c>
      <c r="P80" s="17" t="s">
        <v>617</v>
      </c>
      <c r="Q80" s="17" t="s">
        <v>618</v>
      </c>
      <c r="T80" s="20" t="s">
        <v>1746</v>
      </c>
      <c r="U80" s="20" t="s">
        <v>1752</v>
      </c>
      <c r="V80" s="20" t="s">
        <v>1748</v>
      </c>
      <c r="W80" s="20" t="s">
        <v>1451</v>
      </c>
      <c r="X80" s="20" t="s">
        <v>1753</v>
      </c>
    </row>
    <row r="81" customFormat="1" spans="1:24">
      <c r="A81" t="s">
        <v>1754</v>
      </c>
      <c r="B81" s="3">
        <v>79</v>
      </c>
      <c r="C81" s="3">
        <v>128</v>
      </c>
      <c r="D81" s="21" t="s">
        <v>444</v>
      </c>
      <c r="E81" t="str">
        <f t="shared" si="0"/>
        <v>128原煤储煤场下带式给煤机</v>
      </c>
      <c r="G81" s="22" t="s">
        <v>619</v>
      </c>
      <c r="H81" s="14">
        <v>403</v>
      </c>
      <c r="K81" t="s">
        <v>620</v>
      </c>
      <c r="M81" s="17" t="s">
        <v>621</v>
      </c>
      <c r="N81" s="17" t="s">
        <v>622</v>
      </c>
      <c r="O81" s="17" t="s">
        <v>623</v>
      </c>
      <c r="P81" s="17" t="s">
        <v>624</v>
      </c>
      <c r="Q81" s="17" t="s">
        <v>625</v>
      </c>
      <c r="T81" s="20" t="s">
        <v>1755</v>
      </c>
      <c r="U81" s="20" t="s">
        <v>1756</v>
      </c>
      <c r="V81" s="20" t="s">
        <v>1757</v>
      </c>
      <c r="W81" s="20" t="s">
        <v>1450</v>
      </c>
      <c r="X81" s="20" t="s">
        <v>1758</v>
      </c>
    </row>
    <row r="82" customFormat="1" spans="1:24">
      <c r="A82" t="s">
        <v>1759</v>
      </c>
      <c r="B82" s="3">
        <v>80</v>
      </c>
      <c r="C82" s="3">
        <v>129</v>
      </c>
      <c r="D82" s="21" t="s">
        <v>444</v>
      </c>
      <c r="E82" t="str">
        <f t="shared" si="0"/>
        <v>129原煤储煤场下带式给煤机</v>
      </c>
      <c r="G82" s="22" t="s">
        <v>619</v>
      </c>
      <c r="H82" s="14">
        <v>402</v>
      </c>
      <c r="K82" t="s">
        <v>626</v>
      </c>
      <c r="M82" s="17" t="s">
        <v>627</v>
      </c>
      <c r="N82" s="17" t="s">
        <v>628</v>
      </c>
      <c r="O82" s="17" t="s">
        <v>629</v>
      </c>
      <c r="P82" s="17" t="s">
        <v>630</v>
      </c>
      <c r="Q82" s="17" t="s">
        <v>631</v>
      </c>
      <c r="T82" s="20" t="s">
        <v>1760</v>
      </c>
      <c r="U82" s="20" t="s">
        <v>1761</v>
      </c>
      <c r="V82" s="20" t="s">
        <v>1762</v>
      </c>
      <c r="W82" s="20" t="s">
        <v>1763</v>
      </c>
      <c r="X82" s="20" t="s">
        <v>1764</v>
      </c>
    </row>
    <row r="83" customFormat="1" spans="1:24">
      <c r="A83" t="s">
        <v>1765</v>
      </c>
      <c r="B83" s="3">
        <v>81</v>
      </c>
      <c r="C83" s="3">
        <v>130</v>
      </c>
      <c r="D83" s="21" t="s">
        <v>444</v>
      </c>
      <c r="E83" t="str">
        <f t="shared" si="0"/>
        <v>130原煤储煤场下带式给煤机</v>
      </c>
      <c r="G83" s="22" t="s">
        <v>632</v>
      </c>
      <c r="H83" s="14">
        <v>405</v>
      </c>
      <c r="K83" t="s">
        <v>633</v>
      </c>
      <c r="M83" s="17" t="s">
        <v>634</v>
      </c>
      <c r="N83" s="17" t="s">
        <v>635</v>
      </c>
      <c r="O83" s="17" t="s">
        <v>636</v>
      </c>
      <c r="P83" s="17" t="s">
        <v>637</v>
      </c>
      <c r="Q83" s="17" t="s">
        <v>638</v>
      </c>
      <c r="T83" s="20" t="s">
        <v>1766</v>
      </c>
      <c r="U83" s="20" t="s">
        <v>1767</v>
      </c>
      <c r="V83" s="20" t="s">
        <v>1768</v>
      </c>
      <c r="W83" s="20" t="s">
        <v>1769</v>
      </c>
      <c r="X83" s="20" t="s">
        <v>1770</v>
      </c>
    </row>
    <row r="84" customFormat="1" spans="1:24">
      <c r="A84" t="s">
        <v>1771</v>
      </c>
      <c r="B84" s="3">
        <v>82</v>
      </c>
      <c r="C84" s="3">
        <v>131</v>
      </c>
      <c r="D84" s="21" t="s">
        <v>444</v>
      </c>
      <c r="E84" t="str">
        <f t="shared" si="0"/>
        <v>131原煤储煤场下带式给煤机</v>
      </c>
      <c r="G84" s="22" t="s">
        <v>639</v>
      </c>
      <c r="H84" s="14" t="s">
        <v>640</v>
      </c>
      <c r="K84" t="s">
        <v>641</v>
      </c>
      <c r="M84" s="17" t="s">
        <v>642</v>
      </c>
      <c r="N84" s="17" t="s">
        <v>643</v>
      </c>
      <c r="O84" s="17" t="s">
        <v>644</v>
      </c>
      <c r="P84" s="17" t="s">
        <v>645</v>
      </c>
      <c r="Q84" s="17" t="s">
        <v>646</v>
      </c>
      <c r="T84" s="20" t="s">
        <v>1772</v>
      </c>
      <c r="U84" s="20" t="s">
        <v>1773</v>
      </c>
      <c r="V84" s="20" t="s">
        <v>1774</v>
      </c>
      <c r="W84" s="20" t="s">
        <v>1775</v>
      </c>
      <c r="X84" s="20" t="s">
        <v>1496</v>
      </c>
    </row>
    <row r="85" customFormat="1" spans="1:24">
      <c r="A85" t="s">
        <v>1776</v>
      </c>
      <c r="B85" s="3">
        <v>83</v>
      </c>
      <c r="C85" s="3">
        <v>132</v>
      </c>
      <c r="D85" s="21" t="s">
        <v>444</v>
      </c>
      <c r="E85" t="str">
        <f t="shared" si="0"/>
        <v>132原煤储煤场下带式给煤机</v>
      </c>
      <c r="G85" s="22" t="s">
        <v>647</v>
      </c>
      <c r="H85" s="14" t="s">
        <v>648</v>
      </c>
      <c r="K85" t="s">
        <v>649</v>
      </c>
      <c r="M85" s="17" t="s">
        <v>650</v>
      </c>
      <c r="N85" s="17" t="s">
        <v>651</v>
      </c>
      <c r="O85" s="17" t="s">
        <v>652</v>
      </c>
      <c r="P85" s="17" t="s">
        <v>653</v>
      </c>
      <c r="Q85" s="17" t="s">
        <v>654</v>
      </c>
      <c r="T85" s="20" t="s">
        <v>1777</v>
      </c>
      <c r="U85" s="20" t="s">
        <v>1778</v>
      </c>
      <c r="V85" s="20" t="s">
        <v>1779</v>
      </c>
      <c r="W85" s="20" t="s">
        <v>1780</v>
      </c>
      <c r="X85" s="20" t="s">
        <v>1781</v>
      </c>
    </row>
    <row r="86" customFormat="1" spans="1:24">
      <c r="A86" t="s">
        <v>1782</v>
      </c>
      <c r="B86" s="3">
        <v>84</v>
      </c>
      <c r="C86" s="26" t="s">
        <v>477</v>
      </c>
      <c r="D86" s="34" t="s">
        <v>476</v>
      </c>
      <c r="E86" t="str">
        <f t="shared" si="0"/>
        <v>316f块煤磁尾泵风扇电机</v>
      </c>
      <c r="G86" s="22" t="s">
        <v>655</v>
      </c>
      <c r="H86" s="14" t="s">
        <v>656</v>
      </c>
      <c r="K86" t="s">
        <v>657</v>
      </c>
      <c r="M86" s="17" t="s">
        <v>658</v>
      </c>
      <c r="N86" s="17" t="s">
        <v>659</v>
      </c>
      <c r="O86" s="17" t="s">
        <v>660</v>
      </c>
      <c r="P86" s="17" t="s">
        <v>661</v>
      </c>
      <c r="Q86" s="17" t="s">
        <v>662</v>
      </c>
      <c r="T86" s="20" t="s">
        <v>1714</v>
      </c>
      <c r="U86" s="20" t="s">
        <v>1783</v>
      </c>
      <c r="V86" s="20" t="s">
        <v>1713</v>
      </c>
      <c r="W86" s="20" t="s">
        <v>1401</v>
      </c>
      <c r="X86" s="20" t="s">
        <v>1399</v>
      </c>
    </row>
    <row r="87" customFormat="1" spans="1:24">
      <c r="A87" t="s">
        <v>1784</v>
      </c>
      <c r="B87" s="3">
        <v>85</v>
      </c>
      <c r="C87" s="3" t="s">
        <v>485</v>
      </c>
      <c r="D87" s="41" t="s">
        <v>484</v>
      </c>
      <c r="E87" t="str">
        <f t="shared" si="0"/>
        <v>332f分级旋流器入料泵风扇电机</v>
      </c>
      <c r="G87" s="22" t="s">
        <v>663</v>
      </c>
      <c r="H87" s="14" t="s">
        <v>664</v>
      </c>
      <c r="K87" t="s">
        <v>665</v>
      </c>
      <c r="M87" s="17" t="s">
        <v>666</v>
      </c>
      <c r="N87" s="17" t="s">
        <v>667</v>
      </c>
      <c r="O87" s="17" t="s">
        <v>668</v>
      </c>
      <c r="P87" s="17" t="s">
        <v>669</v>
      </c>
      <c r="Q87" s="17" t="s">
        <v>670</v>
      </c>
      <c r="T87" s="20" t="s">
        <v>1702</v>
      </c>
      <c r="U87" s="20" t="s">
        <v>1785</v>
      </c>
      <c r="V87" s="20" t="s">
        <v>1701</v>
      </c>
      <c r="W87" s="20" t="s">
        <v>1786</v>
      </c>
      <c r="X87" s="20" t="s">
        <v>1787</v>
      </c>
    </row>
    <row r="88" customFormat="1" spans="1:24">
      <c r="A88" t="s">
        <v>1788</v>
      </c>
      <c r="B88" s="3">
        <v>86</v>
      </c>
      <c r="C88" s="3" t="s">
        <v>671</v>
      </c>
      <c r="D88" s="21" t="s">
        <v>672</v>
      </c>
      <c r="E88" t="str">
        <f t="shared" si="0"/>
        <v>363B高压风机</v>
      </c>
      <c r="G88" s="22" t="s">
        <v>663</v>
      </c>
      <c r="H88" s="14" t="s">
        <v>673</v>
      </c>
      <c r="K88" t="s">
        <v>674</v>
      </c>
      <c r="M88" s="17" t="s">
        <v>675</v>
      </c>
      <c r="N88" s="17"/>
      <c r="O88" s="17" t="s">
        <v>676</v>
      </c>
      <c r="P88" s="17" t="s">
        <v>677</v>
      </c>
      <c r="Q88" s="17" t="s">
        <v>678</v>
      </c>
      <c r="T88" s="20" t="s">
        <v>1502</v>
      </c>
      <c r="U88" s="20"/>
      <c r="V88" s="20" t="s">
        <v>1501</v>
      </c>
      <c r="W88" s="20" t="s">
        <v>1789</v>
      </c>
      <c r="X88" s="20" t="s">
        <v>1790</v>
      </c>
    </row>
    <row r="89" customFormat="1" spans="1:24">
      <c r="A89" t="s">
        <v>1791</v>
      </c>
      <c r="B89" s="3">
        <v>87</v>
      </c>
      <c r="C89" s="3" t="s">
        <v>679</v>
      </c>
      <c r="D89" s="21" t="s">
        <v>672</v>
      </c>
      <c r="E89" t="str">
        <f t="shared" si="0"/>
        <v>363A高压风机</v>
      </c>
      <c r="G89" s="22" t="s">
        <v>680</v>
      </c>
      <c r="H89" s="14" t="s">
        <v>681</v>
      </c>
      <c r="K89" t="s">
        <v>682</v>
      </c>
      <c r="M89" s="17" t="s">
        <v>683</v>
      </c>
      <c r="N89" s="17" t="s">
        <v>684</v>
      </c>
      <c r="O89" s="17" t="s">
        <v>685</v>
      </c>
      <c r="P89" s="17" t="s">
        <v>686</v>
      </c>
      <c r="Q89" s="17" t="s">
        <v>687</v>
      </c>
      <c r="T89" s="20" t="s">
        <v>1792</v>
      </c>
      <c r="U89" s="20" t="s">
        <v>1793</v>
      </c>
      <c r="V89" s="20" t="s">
        <v>1794</v>
      </c>
      <c r="W89" s="20" t="s">
        <v>1795</v>
      </c>
      <c r="X89" s="20" t="s">
        <v>1796</v>
      </c>
    </row>
    <row r="90" customFormat="1" spans="1:24">
      <c r="A90" t="s">
        <v>1797</v>
      </c>
      <c r="B90" s="3">
        <v>88</v>
      </c>
      <c r="C90" s="3">
        <v>361</v>
      </c>
      <c r="D90" s="21" t="s">
        <v>688</v>
      </c>
      <c r="E90" t="str">
        <f t="shared" si="0"/>
        <v>361低压风机</v>
      </c>
      <c r="G90" s="22" t="s">
        <v>689</v>
      </c>
      <c r="H90" s="14" t="s">
        <v>690</v>
      </c>
      <c r="K90" t="s">
        <v>691</v>
      </c>
      <c r="M90" s="17" t="s">
        <v>692</v>
      </c>
      <c r="N90" s="17" t="s">
        <v>693</v>
      </c>
      <c r="O90" s="17" t="s">
        <v>694</v>
      </c>
      <c r="P90" s="17" t="s">
        <v>695</v>
      </c>
      <c r="Q90" s="17" t="s">
        <v>696</v>
      </c>
      <c r="T90" s="20" t="s">
        <v>1798</v>
      </c>
      <c r="U90" s="20" t="s">
        <v>1581</v>
      </c>
      <c r="V90" s="20" t="s">
        <v>1799</v>
      </c>
      <c r="W90" s="20" t="s">
        <v>1800</v>
      </c>
      <c r="X90" s="20" t="s">
        <v>1801</v>
      </c>
    </row>
    <row r="91" customFormat="1" spans="1:24">
      <c r="A91" t="s">
        <v>1802</v>
      </c>
      <c r="B91" s="3">
        <v>89</v>
      </c>
      <c r="C91" s="3">
        <v>316</v>
      </c>
      <c r="D91" s="21" t="s">
        <v>493</v>
      </c>
      <c r="E91" t="str">
        <f t="shared" si="0"/>
        <v>316块煤磁尾泵</v>
      </c>
      <c r="G91" s="22" t="s">
        <v>697</v>
      </c>
      <c r="H91" s="14" t="s">
        <v>698</v>
      </c>
      <c r="K91" t="s">
        <v>699</v>
      </c>
      <c r="M91" s="17" t="s">
        <v>700</v>
      </c>
      <c r="N91" s="17" t="s">
        <v>701</v>
      </c>
      <c r="O91" s="17" t="s">
        <v>702</v>
      </c>
      <c r="P91" s="17" t="s">
        <v>703</v>
      </c>
      <c r="Q91" s="17" t="s">
        <v>704</v>
      </c>
      <c r="T91" s="20" t="s">
        <v>1803</v>
      </c>
      <c r="U91" s="20" t="s">
        <v>1804</v>
      </c>
      <c r="V91" s="20" t="s">
        <v>1805</v>
      </c>
      <c r="W91" s="20" t="s">
        <v>1794</v>
      </c>
      <c r="X91" s="20" t="s">
        <v>1792</v>
      </c>
    </row>
    <row r="92" customFormat="1" spans="1:24">
      <c r="A92" t="s">
        <v>1806</v>
      </c>
      <c r="B92" s="3">
        <v>90</v>
      </c>
      <c r="C92" s="3">
        <v>332</v>
      </c>
      <c r="D92" s="21" t="s">
        <v>500</v>
      </c>
      <c r="E92" t="str">
        <f t="shared" si="0"/>
        <v>332分级旋流器入料泵</v>
      </c>
      <c r="G92" s="22" t="s">
        <v>689</v>
      </c>
      <c r="H92" s="14" t="s">
        <v>705</v>
      </c>
      <c r="K92" t="s">
        <v>706</v>
      </c>
      <c r="M92" s="17" t="s">
        <v>707</v>
      </c>
      <c r="N92" s="17" t="s">
        <v>708</v>
      </c>
      <c r="O92" s="17" t="s">
        <v>709</v>
      </c>
      <c r="P92" s="17" t="s">
        <v>710</v>
      </c>
      <c r="Q92" s="17" t="s">
        <v>711</v>
      </c>
      <c r="T92" s="20" t="s">
        <v>1807</v>
      </c>
      <c r="U92" s="20" t="s">
        <v>1808</v>
      </c>
      <c r="V92" s="20" t="s">
        <v>1809</v>
      </c>
      <c r="W92" s="20" t="s">
        <v>1798</v>
      </c>
      <c r="X92" s="20" t="s">
        <v>1793</v>
      </c>
    </row>
    <row r="93" customFormat="1" spans="1:24">
      <c r="A93" t="s">
        <v>1810</v>
      </c>
      <c r="B93" s="3">
        <v>91</v>
      </c>
      <c r="C93" s="3">
        <v>713</v>
      </c>
      <c r="D93" s="21" t="s">
        <v>712</v>
      </c>
      <c r="E93" t="str">
        <f t="shared" si="0"/>
        <v>713混煤配仓刮板输送机</v>
      </c>
      <c r="G93" s="22" t="s">
        <v>689</v>
      </c>
      <c r="H93" s="14" t="s">
        <v>713</v>
      </c>
      <c r="K93" t="s">
        <v>714</v>
      </c>
      <c r="M93" s="17" t="s">
        <v>715</v>
      </c>
      <c r="N93" s="17" t="s">
        <v>716</v>
      </c>
      <c r="O93" s="17" t="s">
        <v>717</v>
      </c>
      <c r="P93" s="17" t="s">
        <v>718</v>
      </c>
      <c r="Q93" s="17" t="s">
        <v>719</v>
      </c>
      <c r="T93" s="20" t="s">
        <v>1811</v>
      </c>
      <c r="U93" s="20" t="s">
        <v>1812</v>
      </c>
      <c r="V93" s="20" t="s">
        <v>1813</v>
      </c>
      <c r="W93" s="20" t="s">
        <v>1814</v>
      </c>
      <c r="X93" s="20" t="s">
        <v>1391</v>
      </c>
    </row>
    <row r="94" customFormat="1" spans="1:24">
      <c r="A94" t="s">
        <v>1815</v>
      </c>
      <c r="B94" s="3">
        <v>92</v>
      </c>
      <c r="C94" s="3">
        <v>712</v>
      </c>
      <c r="D94" s="21" t="s">
        <v>712</v>
      </c>
      <c r="E94" t="str">
        <f t="shared" si="0"/>
        <v>712混煤配仓刮板输送机</v>
      </c>
      <c r="G94" s="22" t="s">
        <v>720</v>
      </c>
      <c r="H94" s="14">
        <v>338</v>
      </c>
      <c r="K94" t="s">
        <v>721</v>
      </c>
      <c r="M94" s="17" t="s">
        <v>722</v>
      </c>
      <c r="N94" s="17" t="s">
        <v>723</v>
      </c>
      <c r="O94" s="17" t="s">
        <v>724</v>
      </c>
      <c r="P94" s="17" t="s">
        <v>725</v>
      </c>
      <c r="Q94" s="17" t="s">
        <v>726</v>
      </c>
      <c r="T94" s="20" t="s">
        <v>1568</v>
      </c>
      <c r="U94" s="20" t="s">
        <v>1538</v>
      </c>
      <c r="V94" s="20" t="s">
        <v>1567</v>
      </c>
      <c r="W94" s="20" t="s">
        <v>1816</v>
      </c>
      <c r="X94" s="20" t="s">
        <v>1817</v>
      </c>
    </row>
    <row r="95" customFormat="1" spans="1:24">
      <c r="A95" t="s">
        <v>1818</v>
      </c>
      <c r="B95" s="3">
        <v>93</v>
      </c>
      <c r="C95" s="3">
        <v>343</v>
      </c>
      <c r="D95" s="21" t="s">
        <v>507</v>
      </c>
      <c r="E95" t="str">
        <f t="shared" si="0"/>
        <v>343压滤机入料泵</v>
      </c>
      <c r="G95" s="22" t="s">
        <v>727</v>
      </c>
      <c r="H95" s="14" t="s">
        <v>728</v>
      </c>
      <c r="K95" t="s">
        <v>729</v>
      </c>
      <c r="M95" s="17" t="s">
        <v>730</v>
      </c>
      <c r="N95" s="17" t="s">
        <v>731</v>
      </c>
      <c r="O95" s="17" t="s">
        <v>732</v>
      </c>
      <c r="P95" s="17" t="s">
        <v>733</v>
      </c>
      <c r="Q95" s="17" t="s">
        <v>734</v>
      </c>
      <c r="T95" s="20" t="s">
        <v>1537</v>
      </c>
      <c r="U95" s="20" t="s">
        <v>1522</v>
      </c>
      <c r="V95" s="20" t="s">
        <v>1819</v>
      </c>
      <c r="W95" s="20" t="s">
        <v>1820</v>
      </c>
      <c r="X95" s="20" t="s">
        <v>1383</v>
      </c>
    </row>
    <row r="96" customFormat="1" spans="1:24">
      <c r="A96" t="s">
        <v>1821</v>
      </c>
      <c r="B96" s="3">
        <v>94</v>
      </c>
      <c r="C96" s="3">
        <v>342</v>
      </c>
      <c r="D96" s="21" t="s">
        <v>507</v>
      </c>
      <c r="E96" t="str">
        <f t="shared" si="0"/>
        <v>342压滤机入料泵</v>
      </c>
      <c r="G96" s="22" t="s">
        <v>727</v>
      </c>
      <c r="H96" s="14" t="s">
        <v>735</v>
      </c>
      <c r="K96" t="s">
        <v>736</v>
      </c>
      <c r="M96" s="17" t="s">
        <v>737</v>
      </c>
      <c r="N96" s="17" t="s">
        <v>738</v>
      </c>
      <c r="O96" s="17" t="s">
        <v>739</v>
      </c>
      <c r="P96" s="17" t="s">
        <v>740</v>
      </c>
      <c r="Q96" s="17" t="s">
        <v>741</v>
      </c>
      <c r="T96" s="20" t="s">
        <v>1521</v>
      </c>
      <c r="U96" s="20" t="s">
        <v>1822</v>
      </c>
      <c r="V96" s="20" t="s">
        <v>1823</v>
      </c>
      <c r="W96" s="20" t="s">
        <v>1824</v>
      </c>
      <c r="X96" s="20" t="s">
        <v>1825</v>
      </c>
    </row>
    <row r="97" customFormat="1" spans="1:24">
      <c r="A97" t="s">
        <v>1826</v>
      </c>
      <c r="B97" s="3">
        <v>95</v>
      </c>
      <c r="C97" s="3">
        <v>702</v>
      </c>
      <c r="D97" s="21" t="s">
        <v>742</v>
      </c>
      <c r="E97" t="str">
        <f t="shared" si="0"/>
        <v>702主厂房至产品仓精煤带式输送机</v>
      </c>
      <c r="G97" s="22" t="s">
        <v>743</v>
      </c>
      <c r="H97" s="14" t="s">
        <v>744</v>
      </c>
      <c r="K97" t="s">
        <v>745</v>
      </c>
      <c r="M97" s="17" t="s">
        <v>746</v>
      </c>
      <c r="N97" s="17" t="s">
        <v>747</v>
      </c>
      <c r="O97" s="17" t="s">
        <v>748</v>
      </c>
      <c r="P97" s="17" t="s">
        <v>749</v>
      </c>
      <c r="Q97" s="17" t="s">
        <v>750</v>
      </c>
      <c r="T97" s="20" t="s">
        <v>1827</v>
      </c>
      <c r="U97" s="20" t="s">
        <v>1828</v>
      </c>
      <c r="V97" s="20" t="s">
        <v>1829</v>
      </c>
      <c r="W97" s="20" t="s">
        <v>1830</v>
      </c>
      <c r="X97" s="20" t="s">
        <v>1831</v>
      </c>
    </row>
    <row r="98" customFormat="1" spans="1:24">
      <c r="A98" t="s">
        <v>1832</v>
      </c>
      <c r="B98" s="3">
        <v>96</v>
      </c>
      <c r="C98" s="3">
        <v>701</v>
      </c>
      <c r="D98" s="21" t="s">
        <v>751</v>
      </c>
      <c r="E98" t="str">
        <f t="shared" si="0"/>
        <v>701主厂房至产品仓混煤带式输送机</v>
      </c>
      <c r="G98" s="22" t="s">
        <v>743</v>
      </c>
      <c r="H98" s="14" t="s">
        <v>752</v>
      </c>
      <c r="K98" t="s">
        <v>753</v>
      </c>
      <c r="M98" s="17" t="s">
        <v>754</v>
      </c>
      <c r="N98" s="17" t="s">
        <v>755</v>
      </c>
      <c r="O98" s="17" t="s">
        <v>756</v>
      </c>
      <c r="P98" s="17" t="s">
        <v>757</v>
      </c>
      <c r="Q98" s="17" t="s">
        <v>758</v>
      </c>
      <c r="T98" s="20" t="s">
        <v>1833</v>
      </c>
      <c r="U98" s="20" t="s">
        <v>1834</v>
      </c>
      <c r="V98" s="20" t="s">
        <v>1835</v>
      </c>
      <c r="W98" s="20" t="s">
        <v>1836</v>
      </c>
      <c r="X98" s="20" t="s">
        <v>1837</v>
      </c>
    </row>
    <row r="99" customFormat="1" spans="1:24">
      <c r="A99" t="s">
        <v>1838</v>
      </c>
      <c r="B99" s="3">
        <v>97</v>
      </c>
      <c r="C99" s="26">
        <v>341</v>
      </c>
      <c r="D99" s="34" t="s">
        <v>520</v>
      </c>
      <c r="E99" t="str">
        <f t="shared" si="0"/>
        <v>341压滤机入料桶搅拌电机</v>
      </c>
      <c r="G99" s="22" t="s">
        <v>743</v>
      </c>
      <c r="H99" s="14" t="s">
        <v>759</v>
      </c>
      <c r="K99" t="s">
        <v>760</v>
      </c>
      <c r="M99" s="17" t="s">
        <v>761</v>
      </c>
      <c r="N99" s="17" t="s">
        <v>762</v>
      </c>
      <c r="O99" s="17" t="s">
        <v>763</v>
      </c>
      <c r="P99" s="17" t="s">
        <v>764</v>
      </c>
      <c r="Q99" s="17" t="s">
        <v>765</v>
      </c>
      <c r="T99" s="20" t="s">
        <v>1839</v>
      </c>
      <c r="U99" s="20" t="s">
        <v>1623</v>
      </c>
      <c r="V99" s="20" t="s">
        <v>1840</v>
      </c>
      <c r="W99" s="20" t="s">
        <v>1841</v>
      </c>
      <c r="X99" s="20" t="s">
        <v>1842</v>
      </c>
    </row>
    <row r="100" customFormat="1" spans="1:24">
      <c r="A100" t="s">
        <v>1843</v>
      </c>
      <c r="B100" s="3">
        <v>98</v>
      </c>
      <c r="C100" s="3">
        <v>348</v>
      </c>
      <c r="D100" s="21" t="s">
        <v>766</v>
      </c>
      <c r="E100" t="str">
        <f t="shared" si="0"/>
        <v>348中高压压滤机</v>
      </c>
      <c r="G100" s="22" t="s">
        <v>743</v>
      </c>
      <c r="H100" s="14" t="s">
        <v>767</v>
      </c>
      <c r="K100" t="s">
        <v>768</v>
      </c>
      <c r="M100" s="17" t="s">
        <v>769</v>
      </c>
      <c r="N100" s="17" t="s">
        <v>770</v>
      </c>
      <c r="O100" s="17" t="s">
        <v>771</v>
      </c>
      <c r="P100" s="17" t="s">
        <v>772</v>
      </c>
      <c r="Q100" s="17" t="s">
        <v>773</v>
      </c>
      <c r="T100" s="20" t="s">
        <v>1694</v>
      </c>
      <c r="U100" s="20" t="s">
        <v>1685</v>
      </c>
      <c r="V100" s="20" t="s">
        <v>1844</v>
      </c>
      <c r="W100" s="20" t="s">
        <v>1845</v>
      </c>
      <c r="X100" s="20" t="s">
        <v>1415</v>
      </c>
    </row>
    <row r="101" customFormat="1" spans="1:24">
      <c r="A101" t="s">
        <v>1846</v>
      </c>
      <c r="B101" s="3">
        <v>99</v>
      </c>
      <c r="C101" s="3">
        <v>347</v>
      </c>
      <c r="D101" s="21" t="s">
        <v>766</v>
      </c>
      <c r="E101" t="str">
        <f t="shared" si="0"/>
        <v>347中高压压滤机</v>
      </c>
      <c r="G101" s="22" t="s">
        <v>774</v>
      </c>
      <c r="H101" s="14">
        <v>743</v>
      </c>
      <c r="K101" t="s">
        <v>775</v>
      </c>
      <c r="M101" s="17" t="s">
        <v>776</v>
      </c>
      <c r="N101" s="17" t="s">
        <v>777</v>
      </c>
      <c r="O101" s="17" t="s">
        <v>778</v>
      </c>
      <c r="P101" s="17" t="s">
        <v>779</v>
      </c>
      <c r="Q101" s="17" t="s">
        <v>780</v>
      </c>
      <c r="T101" s="20" t="s">
        <v>1847</v>
      </c>
      <c r="U101" s="20" t="s">
        <v>1679</v>
      </c>
      <c r="V101" s="20" t="s">
        <v>1848</v>
      </c>
      <c r="W101" s="20" t="s">
        <v>1849</v>
      </c>
      <c r="X101" s="20" t="s">
        <v>1414</v>
      </c>
    </row>
    <row r="102" customFormat="1" spans="1:24">
      <c r="A102" t="s">
        <v>1850</v>
      </c>
      <c r="B102" s="3">
        <v>100</v>
      </c>
      <c r="C102" s="26">
        <v>351</v>
      </c>
      <c r="D102" s="34" t="s">
        <v>781</v>
      </c>
      <c r="E102" t="str">
        <f t="shared" si="0"/>
        <v>351煤泥转载刮板输送机</v>
      </c>
      <c r="G102" s="22" t="s">
        <v>782</v>
      </c>
      <c r="H102" s="14">
        <v>744</v>
      </c>
      <c r="K102" t="s">
        <v>783</v>
      </c>
      <c r="M102" s="17" t="s">
        <v>784</v>
      </c>
      <c r="N102" s="17" t="s">
        <v>785</v>
      </c>
      <c r="O102" s="17" t="s">
        <v>786</v>
      </c>
      <c r="P102" s="17" t="s">
        <v>787</v>
      </c>
      <c r="Q102" s="17" t="s">
        <v>788</v>
      </c>
      <c r="T102" s="20" t="s">
        <v>1851</v>
      </c>
      <c r="U102" s="20" t="s">
        <v>1852</v>
      </c>
      <c r="V102" s="20" t="s">
        <v>1853</v>
      </c>
      <c r="W102" s="20" t="s">
        <v>1854</v>
      </c>
      <c r="X102" s="20" t="s">
        <v>1855</v>
      </c>
    </row>
    <row r="103" customFormat="1" spans="1:24">
      <c r="A103" t="s">
        <v>1856</v>
      </c>
      <c r="B103" s="3">
        <v>101</v>
      </c>
      <c r="C103" s="26">
        <v>350</v>
      </c>
      <c r="D103" s="34" t="s">
        <v>789</v>
      </c>
      <c r="E103" t="str">
        <f t="shared" ref="E103:E166" si="1">C103&amp;D103</f>
        <v>350煤泥收集刮板输送机</v>
      </c>
      <c r="G103" s="22" t="s">
        <v>370</v>
      </c>
      <c r="H103" s="14" t="s">
        <v>790</v>
      </c>
      <c r="K103" t="s">
        <v>791</v>
      </c>
      <c r="M103" s="17" t="s">
        <v>792</v>
      </c>
      <c r="N103" s="17" t="s">
        <v>793</v>
      </c>
      <c r="O103" s="17" t="s">
        <v>794</v>
      </c>
      <c r="P103" s="17" t="s">
        <v>795</v>
      </c>
      <c r="Q103" s="17" t="s">
        <v>796</v>
      </c>
      <c r="T103" s="20" t="s">
        <v>1857</v>
      </c>
      <c r="U103" s="20" t="s">
        <v>1858</v>
      </c>
      <c r="V103" s="20" t="s">
        <v>1859</v>
      </c>
      <c r="W103" s="20" t="s">
        <v>1860</v>
      </c>
      <c r="X103" s="20" t="s">
        <v>1425</v>
      </c>
    </row>
    <row r="104" customFormat="1" spans="1:24">
      <c r="A104" t="s">
        <v>1861</v>
      </c>
      <c r="B104" s="3">
        <v>102</v>
      </c>
      <c r="C104" s="26">
        <v>349</v>
      </c>
      <c r="D104" s="34" t="s">
        <v>789</v>
      </c>
      <c r="E104" t="str">
        <f t="shared" si="1"/>
        <v>349煤泥收集刮板输送机</v>
      </c>
      <c r="G104" s="22" t="s">
        <v>370</v>
      </c>
      <c r="H104" s="14" t="s">
        <v>797</v>
      </c>
      <c r="K104" t="s">
        <v>798</v>
      </c>
      <c r="M104" s="17" t="s">
        <v>799</v>
      </c>
      <c r="N104" s="17" t="s">
        <v>800</v>
      </c>
      <c r="O104" s="17" t="s">
        <v>801</v>
      </c>
      <c r="P104" s="17" t="s">
        <v>802</v>
      </c>
      <c r="Q104" s="17" t="s">
        <v>803</v>
      </c>
      <c r="T104" s="20" t="s">
        <v>1862</v>
      </c>
      <c r="U104" s="20" t="s">
        <v>1695</v>
      </c>
      <c r="V104" s="20" t="s">
        <v>1863</v>
      </c>
      <c r="W104" s="20" t="s">
        <v>1864</v>
      </c>
      <c r="X104" s="20" t="s">
        <v>1420</v>
      </c>
    </row>
    <row r="105" customFormat="1" spans="1:24">
      <c r="A105" t="s">
        <v>1865</v>
      </c>
      <c r="B105" s="3">
        <v>103</v>
      </c>
      <c r="C105" s="3" t="s">
        <v>527</v>
      </c>
      <c r="D105" s="21" t="s">
        <v>76</v>
      </c>
      <c r="E105" t="str">
        <f t="shared" si="1"/>
        <v>702L带式输送机液压拉紧装置</v>
      </c>
      <c r="G105" s="22" t="s">
        <v>370</v>
      </c>
      <c r="H105" s="14" t="s">
        <v>804</v>
      </c>
      <c r="K105" t="s">
        <v>805</v>
      </c>
      <c r="M105" s="17" t="s">
        <v>806</v>
      </c>
      <c r="N105" s="17" t="s">
        <v>807</v>
      </c>
      <c r="O105" s="17" t="s">
        <v>808</v>
      </c>
      <c r="P105" s="17" t="s">
        <v>809</v>
      </c>
      <c r="Q105" s="17" t="s">
        <v>810</v>
      </c>
      <c r="T105" s="20" t="s">
        <v>1657</v>
      </c>
      <c r="U105" s="20" t="s">
        <v>1866</v>
      </c>
      <c r="V105" s="20" t="s">
        <v>1867</v>
      </c>
      <c r="W105" s="20" t="s">
        <v>1408</v>
      </c>
      <c r="X105" s="20" t="s">
        <v>1868</v>
      </c>
    </row>
    <row r="106" customFormat="1" spans="1:24">
      <c r="A106" t="s">
        <v>1869</v>
      </c>
      <c r="B106" s="3">
        <v>104</v>
      </c>
      <c r="C106" s="3" t="s">
        <v>534</v>
      </c>
      <c r="D106" s="21" t="s">
        <v>76</v>
      </c>
      <c r="E106" t="str">
        <f t="shared" si="1"/>
        <v>701L带式输送机液压拉紧装置</v>
      </c>
      <c r="G106" s="22" t="s">
        <v>370</v>
      </c>
      <c r="H106" s="14" t="s">
        <v>811</v>
      </c>
      <c r="K106" t="s">
        <v>812</v>
      </c>
      <c r="M106" s="17" t="s">
        <v>813</v>
      </c>
      <c r="N106" s="17" t="s">
        <v>814</v>
      </c>
      <c r="O106" s="17" t="s">
        <v>815</v>
      </c>
      <c r="P106" s="17" t="s">
        <v>816</v>
      </c>
      <c r="Q106" s="17" t="s">
        <v>817</v>
      </c>
      <c r="T106" s="20" t="s">
        <v>1870</v>
      </c>
      <c r="U106" s="20" t="s">
        <v>1871</v>
      </c>
      <c r="V106" s="20" t="s">
        <v>1646</v>
      </c>
      <c r="W106" s="20" t="s">
        <v>1872</v>
      </c>
      <c r="X106" s="20" t="s">
        <v>1873</v>
      </c>
    </row>
    <row r="107" customFormat="1" spans="1:24">
      <c r="A107" t="s">
        <v>1874</v>
      </c>
      <c r="B107" s="3">
        <v>105</v>
      </c>
      <c r="C107" s="3">
        <v>334</v>
      </c>
      <c r="D107" s="21" t="s">
        <v>538</v>
      </c>
      <c r="E107" t="str">
        <f t="shared" si="1"/>
        <v>334高频叠层筛</v>
      </c>
      <c r="G107" s="22" t="s">
        <v>370</v>
      </c>
      <c r="H107" s="14" t="s">
        <v>818</v>
      </c>
      <c r="K107" t="s">
        <v>819</v>
      </c>
      <c r="M107" s="17" t="s">
        <v>820</v>
      </c>
      <c r="N107" s="17" t="s">
        <v>821</v>
      </c>
      <c r="O107" s="17" t="s">
        <v>822</v>
      </c>
      <c r="P107" s="17" t="s">
        <v>823</v>
      </c>
      <c r="Q107" s="17" t="s">
        <v>824</v>
      </c>
      <c r="T107" s="20" t="s">
        <v>1875</v>
      </c>
      <c r="U107" s="20" t="s">
        <v>1664</v>
      </c>
      <c r="V107" s="20" t="s">
        <v>1674</v>
      </c>
      <c r="W107" s="20" t="s">
        <v>1876</v>
      </c>
      <c r="X107" s="20" t="s">
        <v>1877</v>
      </c>
    </row>
    <row r="108" customFormat="1" spans="1:24">
      <c r="A108" t="s">
        <v>1878</v>
      </c>
      <c r="B108" s="3">
        <v>106</v>
      </c>
      <c r="C108" s="3">
        <v>741</v>
      </c>
      <c r="D108" s="21" t="s">
        <v>825</v>
      </c>
      <c r="E108" t="str">
        <f t="shared" si="1"/>
        <v>741产品仓上电动葫芦</v>
      </c>
      <c r="G108" s="22" t="s">
        <v>370</v>
      </c>
      <c r="H108" s="14" t="s">
        <v>826</v>
      </c>
      <c r="K108" t="s">
        <v>827</v>
      </c>
      <c r="M108" s="17" t="s">
        <v>828</v>
      </c>
      <c r="N108" s="17" t="s">
        <v>829</v>
      </c>
      <c r="O108" s="17" t="s">
        <v>830</v>
      </c>
      <c r="P108" s="17" t="s">
        <v>831</v>
      </c>
      <c r="Q108" s="17" t="s">
        <v>832</v>
      </c>
      <c r="T108" s="20" t="s">
        <v>1879</v>
      </c>
      <c r="U108" s="20" t="s">
        <v>1880</v>
      </c>
      <c r="V108" s="20" t="s">
        <v>1881</v>
      </c>
      <c r="W108" s="20" t="s">
        <v>1882</v>
      </c>
      <c r="X108" s="20" t="s">
        <v>1883</v>
      </c>
    </row>
    <row r="109" customFormat="1" spans="1:24">
      <c r="A109" t="s">
        <v>1884</v>
      </c>
      <c r="B109" s="3">
        <v>107</v>
      </c>
      <c r="C109" s="26" t="s">
        <v>541</v>
      </c>
      <c r="D109" s="34" t="s">
        <v>540</v>
      </c>
      <c r="E109" t="str">
        <f t="shared" si="1"/>
        <v>336y煤泥离心机油泵电机</v>
      </c>
      <c r="G109" s="22" t="s">
        <v>370</v>
      </c>
      <c r="H109" s="14" t="s">
        <v>833</v>
      </c>
      <c r="K109" t="s">
        <v>834</v>
      </c>
      <c r="M109" s="17" t="s">
        <v>835</v>
      </c>
      <c r="N109" s="17" t="s">
        <v>836</v>
      </c>
      <c r="O109" s="17" t="s">
        <v>837</v>
      </c>
      <c r="P109" s="17" t="s">
        <v>838</v>
      </c>
      <c r="Q109" s="17" t="s">
        <v>839</v>
      </c>
      <c r="T109" s="20" t="s">
        <v>1639</v>
      </c>
      <c r="U109" s="20" t="s">
        <v>1885</v>
      </c>
      <c r="V109" s="20" t="s">
        <v>1886</v>
      </c>
      <c r="W109" s="20" t="s">
        <v>1887</v>
      </c>
      <c r="X109" s="20" t="s">
        <v>1888</v>
      </c>
    </row>
    <row r="110" customFormat="1" spans="1:24">
      <c r="A110" t="s">
        <v>1889</v>
      </c>
      <c r="B110" s="3">
        <v>108</v>
      </c>
      <c r="C110" s="42">
        <v>336</v>
      </c>
      <c r="D110" s="43" t="s">
        <v>548</v>
      </c>
      <c r="E110" t="str">
        <f t="shared" si="1"/>
        <v>336煤泥离心机主电机</v>
      </c>
      <c r="G110" s="22" t="s">
        <v>370</v>
      </c>
      <c r="H110" s="14" t="s">
        <v>840</v>
      </c>
      <c r="K110" t="s">
        <v>841</v>
      </c>
      <c r="M110" s="17" t="s">
        <v>842</v>
      </c>
      <c r="N110" s="17" t="s">
        <v>843</v>
      </c>
      <c r="O110" s="17" t="s">
        <v>844</v>
      </c>
      <c r="P110" s="17" t="s">
        <v>845</v>
      </c>
      <c r="Q110" s="17" t="s">
        <v>846</v>
      </c>
      <c r="T110" s="20" t="s">
        <v>1890</v>
      </c>
      <c r="U110" s="20" t="s">
        <v>1891</v>
      </c>
      <c r="V110" s="20" t="s">
        <v>1892</v>
      </c>
      <c r="W110" s="20" t="s">
        <v>1893</v>
      </c>
      <c r="X110" s="20" t="s">
        <v>1894</v>
      </c>
    </row>
    <row r="111" customFormat="1" spans="1:24">
      <c r="A111" t="s">
        <v>1895</v>
      </c>
      <c r="B111" s="3">
        <v>109</v>
      </c>
      <c r="C111" s="3" t="s">
        <v>556</v>
      </c>
      <c r="D111" s="34" t="s">
        <v>555</v>
      </c>
      <c r="E111" t="str">
        <f t="shared" si="1"/>
        <v>352y煤泥破碎机油泵电机</v>
      </c>
      <c r="G111" s="22" t="s">
        <v>370</v>
      </c>
      <c r="H111" s="14" t="s">
        <v>847</v>
      </c>
      <c r="K111" t="s">
        <v>848</v>
      </c>
      <c r="M111" s="17" t="s">
        <v>849</v>
      </c>
      <c r="N111" s="17" t="s">
        <v>850</v>
      </c>
      <c r="O111" s="17" t="s">
        <v>851</v>
      </c>
      <c r="P111" s="17"/>
      <c r="Q111" s="17"/>
      <c r="T111" s="20" t="s">
        <v>1896</v>
      </c>
      <c r="U111" s="20" t="s">
        <v>1599</v>
      </c>
      <c r="V111" s="20" t="s">
        <v>1606</v>
      </c>
      <c r="W111" s="20"/>
      <c r="X111" s="20"/>
    </row>
    <row r="112" customFormat="1" spans="1:24">
      <c r="A112" t="s">
        <v>1897</v>
      </c>
      <c r="B112" s="3">
        <v>110</v>
      </c>
      <c r="C112" s="3" t="s">
        <v>564</v>
      </c>
      <c r="D112" s="21" t="s">
        <v>563</v>
      </c>
      <c r="E112" t="str">
        <f t="shared" si="1"/>
        <v>XQJ湿式洗气机</v>
      </c>
      <c r="G112" s="22" t="s">
        <v>370</v>
      </c>
      <c r="H112" s="14" t="s">
        <v>852</v>
      </c>
      <c r="K112" t="s">
        <v>853</v>
      </c>
      <c r="M112" s="17" t="s">
        <v>854</v>
      </c>
      <c r="N112" s="17" t="s">
        <v>855</v>
      </c>
      <c r="O112" s="17" t="s">
        <v>856</v>
      </c>
      <c r="P112" s="17" t="s">
        <v>857</v>
      </c>
      <c r="Q112" s="17" t="s">
        <v>858</v>
      </c>
      <c r="T112" s="20" t="s">
        <v>1617</v>
      </c>
      <c r="U112" s="20" t="s">
        <v>1612</v>
      </c>
      <c r="V112" s="20" t="s">
        <v>1898</v>
      </c>
      <c r="W112" s="20" t="s">
        <v>1899</v>
      </c>
      <c r="X112" s="20" t="s">
        <v>1900</v>
      </c>
    </row>
    <row r="113" customFormat="1" spans="1:24">
      <c r="A113" t="s">
        <v>1901</v>
      </c>
      <c r="B113" s="3">
        <v>111</v>
      </c>
      <c r="C113" s="3" t="s">
        <v>859</v>
      </c>
      <c r="D113" s="21" t="s">
        <v>860</v>
      </c>
      <c r="E113" t="str">
        <f t="shared" si="1"/>
        <v>81DY产品仓配电室电源</v>
      </c>
      <c r="G113" s="22" t="s">
        <v>370</v>
      </c>
      <c r="H113" s="14" t="s">
        <v>861</v>
      </c>
      <c r="K113" t="s">
        <v>862</v>
      </c>
      <c r="M113" s="17" t="s">
        <v>863</v>
      </c>
      <c r="N113" s="17"/>
      <c r="O113" s="17" t="s">
        <v>864</v>
      </c>
      <c r="P113" s="17" t="s">
        <v>865</v>
      </c>
      <c r="Q113" s="17" t="s">
        <v>866</v>
      </c>
      <c r="T113" s="20" t="s">
        <v>1902</v>
      </c>
      <c r="U113" s="20"/>
      <c r="V113" s="20" t="s">
        <v>1903</v>
      </c>
      <c r="W113" s="20" t="s">
        <v>1904</v>
      </c>
      <c r="X113" s="20" t="s">
        <v>1905</v>
      </c>
    </row>
    <row r="114" customFormat="1" spans="1:24">
      <c r="A114" t="s">
        <v>1906</v>
      </c>
      <c r="B114" s="3">
        <v>112</v>
      </c>
      <c r="C114" s="26">
        <v>352</v>
      </c>
      <c r="D114" s="34" t="s">
        <v>571</v>
      </c>
      <c r="E114" t="str">
        <f t="shared" si="1"/>
        <v>352煤泥破碎机</v>
      </c>
      <c r="G114" s="22" t="s">
        <v>370</v>
      </c>
      <c r="H114" s="14" t="s">
        <v>867</v>
      </c>
      <c r="K114" t="s">
        <v>868</v>
      </c>
      <c r="M114" s="17" t="s">
        <v>869</v>
      </c>
      <c r="N114" s="17" t="s">
        <v>870</v>
      </c>
      <c r="O114" s="17" t="s">
        <v>871</v>
      </c>
      <c r="P114" s="17" t="s">
        <v>872</v>
      </c>
      <c r="Q114" s="17" t="s">
        <v>873</v>
      </c>
      <c r="T114" s="20" t="s">
        <v>1594</v>
      </c>
      <c r="U114" s="20" t="s">
        <v>1907</v>
      </c>
      <c r="V114" s="20" t="s">
        <v>1593</v>
      </c>
      <c r="W114" s="20" t="s">
        <v>1908</v>
      </c>
      <c r="X114" s="20" t="s">
        <v>1909</v>
      </c>
    </row>
    <row r="115" customFormat="1" spans="1:24">
      <c r="A115" t="s">
        <v>1910</v>
      </c>
      <c r="B115" s="3">
        <v>113</v>
      </c>
      <c r="C115" s="3" t="s">
        <v>579</v>
      </c>
      <c r="D115" s="21" t="s">
        <v>578</v>
      </c>
      <c r="E115" t="str">
        <f t="shared" si="1"/>
        <v>338f清水泵风扇电机</v>
      </c>
      <c r="G115" s="22" t="s">
        <v>370</v>
      </c>
      <c r="H115" s="14" t="s">
        <v>874</v>
      </c>
      <c r="K115" t="s">
        <v>875</v>
      </c>
      <c r="M115" s="17" t="s">
        <v>876</v>
      </c>
      <c r="N115" s="17" t="s">
        <v>877</v>
      </c>
      <c r="O115" s="17" t="s">
        <v>878</v>
      </c>
      <c r="P115" s="17" t="s">
        <v>879</v>
      </c>
      <c r="Q115" s="17" t="s">
        <v>880</v>
      </c>
      <c r="T115" s="20" t="s">
        <v>1911</v>
      </c>
      <c r="U115" s="20" t="s">
        <v>1912</v>
      </c>
      <c r="V115" s="20" t="s">
        <v>1913</v>
      </c>
      <c r="W115" s="20" t="s">
        <v>1914</v>
      </c>
      <c r="X115" s="20" t="s">
        <v>1915</v>
      </c>
    </row>
    <row r="116" customFormat="1" spans="1:24">
      <c r="A116" t="s">
        <v>1916</v>
      </c>
      <c r="B116" s="3">
        <v>114</v>
      </c>
      <c r="C116" s="3">
        <v>372</v>
      </c>
      <c r="D116" s="21" t="s">
        <v>881</v>
      </c>
      <c r="E116" t="str">
        <f t="shared" si="1"/>
        <v>372阳离子自动加药装置</v>
      </c>
      <c r="G116" s="22" t="s">
        <v>370</v>
      </c>
      <c r="H116" s="14" t="s">
        <v>882</v>
      </c>
      <c r="K116" t="s">
        <v>883</v>
      </c>
      <c r="M116" s="17" t="s">
        <v>884</v>
      </c>
      <c r="N116" s="17" t="s">
        <v>885</v>
      </c>
      <c r="O116" s="17" t="s">
        <v>886</v>
      </c>
      <c r="P116" s="17" t="s">
        <v>887</v>
      </c>
      <c r="Q116" s="17" t="s">
        <v>888</v>
      </c>
      <c r="T116" s="20" t="s">
        <v>1917</v>
      </c>
      <c r="U116" s="20" t="s">
        <v>1918</v>
      </c>
      <c r="V116" s="20" t="s">
        <v>1919</v>
      </c>
      <c r="W116" s="20" t="s">
        <v>1430</v>
      </c>
      <c r="X116" s="20" t="s">
        <v>1428</v>
      </c>
    </row>
    <row r="117" customFormat="1" spans="1:24">
      <c r="A117" t="s">
        <v>1920</v>
      </c>
      <c r="B117" s="3">
        <v>115</v>
      </c>
      <c r="C117" s="3">
        <v>371</v>
      </c>
      <c r="D117" s="21" t="s">
        <v>889</v>
      </c>
      <c r="E117" t="str">
        <f t="shared" si="1"/>
        <v>371阴离子自动加药装置</v>
      </c>
      <c r="G117" s="22" t="s">
        <v>370</v>
      </c>
      <c r="H117" s="14" t="s">
        <v>890</v>
      </c>
      <c r="K117" t="s">
        <v>891</v>
      </c>
      <c r="M117" s="17" t="s">
        <v>892</v>
      </c>
      <c r="N117" s="17" t="s">
        <v>892</v>
      </c>
      <c r="O117" s="17" t="s">
        <v>893</v>
      </c>
      <c r="P117" s="17" t="s">
        <v>894</v>
      </c>
      <c r="Q117" s="17" t="s">
        <v>895</v>
      </c>
      <c r="T117" s="20" t="s">
        <v>1921</v>
      </c>
      <c r="U117" s="20" t="s">
        <v>1921</v>
      </c>
      <c r="V117" s="20" t="s">
        <v>1922</v>
      </c>
      <c r="W117" s="20" t="s">
        <v>1923</v>
      </c>
      <c r="X117" s="20" t="s">
        <v>1924</v>
      </c>
    </row>
    <row r="118" customFormat="1" spans="1:24">
      <c r="A118" t="s">
        <v>1925</v>
      </c>
      <c r="B118" s="3">
        <v>116</v>
      </c>
      <c r="C118" s="26">
        <v>354</v>
      </c>
      <c r="D118" s="34" t="s">
        <v>586</v>
      </c>
      <c r="E118" t="str">
        <f t="shared" si="1"/>
        <v>354压滤系统排污泵</v>
      </c>
      <c r="G118" s="44" t="s">
        <v>370</v>
      </c>
      <c r="H118" s="45" t="s">
        <v>896</v>
      </c>
      <c r="K118" t="s">
        <v>897</v>
      </c>
      <c r="M118" s="17" t="s">
        <v>898</v>
      </c>
      <c r="N118" s="17" t="s">
        <v>899</v>
      </c>
      <c r="O118" s="17" t="s">
        <v>900</v>
      </c>
      <c r="P118" s="17" t="s">
        <v>901</v>
      </c>
      <c r="Q118" s="17" t="s">
        <v>902</v>
      </c>
      <c r="T118" s="20" t="s">
        <v>1926</v>
      </c>
      <c r="U118" s="20" t="s">
        <v>1927</v>
      </c>
      <c r="V118" s="20" t="s">
        <v>1928</v>
      </c>
      <c r="W118" s="20" t="s">
        <v>1929</v>
      </c>
      <c r="X118" s="20" t="s">
        <v>1930</v>
      </c>
    </row>
    <row r="119" customFormat="1" spans="1:24">
      <c r="A119" t="s">
        <v>1931</v>
      </c>
      <c r="B119" s="3">
        <v>117</v>
      </c>
      <c r="C119" s="3" t="s">
        <v>594</v>
      </c>
      <c r="D119" s="21" t="s">
        <v>593</v>
      </c>
      <c r="E119" t="str">
        <f t="shared" si="1"/>
        <v>406B浓缩池下层排污泵</v>
      </c>
      <c r="G119" s="22" t="s">
        <v>903</v>
      </c>
      <c r="H119" s="14">
        <v>721</v>
      </c>
      <c r="K119" t="s">
        <v>904</v>
      </c>
      <c r="M119" s="17" t="s">
        <v>905</v>
      </c>
      <c r="N119" s="17" t="s">
        <v>906</v>
      </c>
      <c r="O119" s="17" t="s">
        <v>907</v>
      </c>
      <c r="P119" s="17" t="s">
        <v>908</v>
      </c>
      <c r="Q119" s="17" t="s">
        <v>909</v>
      </c>
      <c r="T119" s="20" t="s">
        <v>1932</v>
      </c>
      <c r="U119" s="20" t="s">
        <v>1933</v>
      </c>
      <c r="V119" s="20" t="s">
        <v>1934</v>
      </c>
      <c r="W119" s="20" t="s">
        <v>1935</v>
      </c>
      <c r="X119" s="20" t="s">
        <v>1936</v>
      </c>
    </row>
    <row r="120" customFormat="1" spans="1:24">
      <c r="A120" t="s">
        <v>1937</v>
      </c>
      <c r="B120" s="3">
        <v>118</v>
      </c>
      <c r="C120" s="26" t="s">
        <v>601</v>
      </c>
      <c r="D120" s="34" t="s">
        <v>593</v>
      </c>
      <c r="E120" t="str">
        <f t="shared" si="1"/>
        <v>406A浓缩池下层排污泵</v>
      </c>
      <c r="G120" s="22" t="s">
        <v>903</v>
      </c>
      <c r="H120" s="14">
        <v>722</v>
      </c>
      <c r="K120" t="s">
        <v>910</v>
      </c>
      <c r="M120" s="17" t="s">
        <v>911</v>
      </c>
      <c r="N120" s="17" t="s">
        <v>912</v>
      </c>
      <c r="O120" s="17" t="s">
        <v>913</v>
      </c>
      <c r="P120" s="17" t="s">
        <v>914</v>
      </c>
      <c r="Q120" s="17" t="s">
        <v>915</v>
      </c>
      <c r="T120" s="20" t="s">
        <v>1938</v>
      </c>
      <c r="U120" s="20" t="s">
        <v>1939</v>
      </c>
      <c r="V120" s="20" t="s">
        <v>1940</v>
      </c>
      <c r="W120" s="20" t="s">
        <v>1941</v>
      </c>
      <c r="X120" s="20" t="s">
        <v>1942</v>
      </c>
    </row>
    <row r="121" customFormat="1" spans="1:24">
      <c r="A121" t="s">
        <v>1943</v>
      </c>
      <c r="B121" s="3">
        <v>119</v>
      </c>
      <c r="C121" s="26">
        <v>353</v>
      </c>
      <c r="D121" s="34" t="s">
        <v>916</v>
      </c>
      <c r="E121" t="str">
        <f t="shared" si="1"/>
        <v>353煤泥转载带式输送机</v>
      </c>
      <c r="G121" s="22" t="s">
        <v>903</v>
      </c>
      <c r="H121" s="14">
        <v>723</v>
      </c>
      <c r="K121" t="s">
        <v>917</v>
      </c>
      <c r="M121" s="17" t="s">
        <v>918</v>
      </c>
      <c r="N121" s="17" t="s">
        <v>919</v>
      </c>
      <c r="O121" s="17" t="s">
        <v>920</v>
      </c>
      <c r="P121" s="17" t="s">
        <v>921</v>
      </c>
      <c r="Q121" s="17" t="s">
        <v>922</v>
      </c>
      <c r="T121" s="20" t="s">
        <v>1944</v>
      </c>
      <c r="U121" s="20" t="s">
        <v>1945</v>
      </c>
      <c r="V121" s="20" t="s">
        <v>1946</v>
      </c>
      <c r="W121" s="20" t="s">
        <v>1947</v>
      </c>
      <c r="X121" s="20" t="s">
        <v>1478</v>
      </c>
    </row>
    <row r="122" customFormat="1" spans="1:24">
      <c r="A122" t="s">
        <v>1948</v>
      </c>
      <c r="B122" s="3">
        <v>120</v>
      </c>
      <c r="C122" s="26">
        <v>328</v>
      </c>
      <c r="D122" s="34" t="s">
        <v>607</v>
      </c>
      <c r="E122" t="str">
        <f t="shared" si="1"/>
        <v>328重介系统轴封水泵</v>
      </c>
      <c r="G122" s="22" t="s">
        <v>903</v>
      </c>
      <c r="H122" s="14">
        <v>724</v>
      </c>
      <c r="K122" t="s">
        <v>923</v>
      </c>
      <c r="M122" s="17" t="s">
        <v>924</v>
      </c>
      <c r="N122" s="17" t="s">
        <v>925</v>
      </c>
      <c r="O122" s="17" t="s">
        <v>926</v>
      </c>
      <c r="P122" s="17" t="s">
        <v>927</v>
      </c>
      <c r="Q122" s="17" t="s">
        <v>928</v>
      </c>
      <c r="T122" s="20" t="s">
        <v>1949</v>
      </c>
      <c r="U122" s="20" t="s">
        <v>1950</v>
      </c>
      <c r="V122" s="20" t="s">
        <v>1951</v>
      </c>
      <c r="W122" s="20" t="s">
        <v>1952</v>
      </c>
      <c r="X122" s="20" t="s">
        <v>1953</v>
      </c>
    </row>
    <row r="123" customFormat="1" spans="1:24">
      <c r="A123" t="s">
        <v>1954</v>
      </c>
      <c r="B123" s="3">
        <v>121</v>
      </c>
      <c r="C123" s="3">
        <v>407</v>
      </c>
      <c r="D123" s="21" t="s">
        <v>929</v>
      </c>
      <c r="E123" t="str">
        <f t="shared" si="1"/>
        <v>407浓缩车间电动葫芦</v>
      </c>
      <c r="G123" s="22" t="s">
        <v>903</v>
      </c>
      <c r="H123" s="14">
        <v>725</v>
      </c>
      <c r="K123" t="s">
        <v>930</v>
      </c>
      <c r="M123" s="17" t="s">
        <v>931</v>
      </c>
      <c r="N123" s="17" t="s">
        <v>932</v>
      </c>
      <c r="O123" s="17" t="s">
        <v>933</v>
      </c>
      <c r="P123" s="17" t="s">
        <v>934</v>
      </c>
      <c r="Q123" s="17" t="s">
        <v>935</v>
      </c>
      <c r="T123" s="20" t="s">
        <v>1955</v>
      </c>
      <c r="U123" s="20" t="s">
        <v>1956</v>
      </c>
      <c r="V123" s="20" t="s">
        <v>1957</v>
      </c>
      <c r="W123" s="20" t="s">
        <v>1958</v>
      </c>
      <c r="X123" s="20" t="s">
        <v>1959</v>
      </c>
    </row>
    <row r="124" customFormat="1" spans="1:24">
      <c r="A124" t="s">
        <v>1960</v>
      </c>
      <c r="B124" s="3">
        <v>122</v>
      </c>
      <c r="C124" s="3">
        <v>401</v>
      </c>
      <c r="D124" s="21" t="s">
        <v>936</v>
      </c>
      <c r="E124" t="str">
        <f t="shared" si="1"/>
        <v>401浓缩机</v>
      </c>
      <c r="G124" s="22" t="s">
        <v>903</v>
      </c>
      <c r="H124" s="14">
        <v>726</v>
      </c>
      <c r="K124" t="s">
        <v>937</v>
      </c>
      <c r="M124" s="17" t="s">
        <v>938</v>
      </c>
      <c r="N124" s="17" t="s">
        <v>939</v>
      </c>
      <c r="O124" s="17" t="s">
        <v>940</v>
      </c>
      <c r="P124" s="17" t="s">
        <v>941</v>
      </c>
      <c r="Q124" s="17" t="s">
        <v>942</v>
      </c>
      <c r="T124" s="20" t="s">
        <v>1961</v>
      </c>
      <c r="U124" s="20" t="s">
        <v>1962</v>
      </c>
      <c r="V124" s="20" t="s">
        <v>1963</v>
      </c>
      <c r="W124" s="20" t="s">
        <v>1964</v>
      </c>
      <c r="X124" s="20" t="s">
        <v>1965</v>
      </c>
    </row>
    <row r="125" customFormat="1" spans="1:24">
      <c r="A125" t="s">
        <v>1966</v>
      </c>
      <c r="B125" s="3">
        <v>123</v>
      </c>
      <c r="C125" s="26">
        <v>356</v>
      </c>
      <c r="D125" s="34" t="s">
        <v>614</v>
      </c>
      <c r="E125" t="str">
        <f t="shared" si="1"/>
        <v>356压滤系统轴封水泵</v>
      </c>
      <c r="G125" s="22" t="s">
        <v>903</v>
      </c>
      <c r="H125" s="14">
        <v>727</v>
      </c>
      <c r="K125" t="s">
        <v>943</v>
      </c>
      <c r="M125" s="17" t="s">
        <v>944</v>
      </c>
      <c r="N125" s="17" t="s">
        <v>945</v>
      </c>
      <c r="O125" s="17" t="s">
        <v>946</v>
      </c>
      <c r="P125" s="17" t="s">
        <v>947</v>
      </c>
      <c r="Q125" s="17" t="s">
        <v>948</v>
      </c>
      <c r="T125" s="20" t="s">
        <v>1967</v>
      </c>
      <c r="U125" s="20" t="s">
        <v>1968</v>
      </c>
      <c r="V125" s="20" t="s">
        <v>1969</v>
      </c>
      <c r="W125" s="20" t="s">
        <v>1970</v>
      </c>
      <c r="X125" s="20" t="s">
        <v>1971</v>
      </c>
    </row>
    <row r="126" customFormat="1" spans="1:24">
      <c r="A126" t="s">
        <v>1972</v>
      </c>
      <c r="B126" s="3">
        <v>124</v>
      </c>
      <c r="C126" s="26">
        <v>403</v>
      </c>
      <c r="D126" s="34" t="s">
        <v>619</v>
      </c>
      <c r="E126" t="str">
        <f t="shared" si="1"/>
        <v>403底流泵</v>
      </c>
      <c r="G126" s="22" t="s">
        <v>903</v>
      </c>
      <c r="H126" s="14">
        <v>728</v>
      </c>
      <c r="K126" t="s">
        <v>949</v>
      </c>
      <c r="M126" s="17" t="s">
        <v>950</v>
      </c>
      <c r="N126" s="17" t="s">
        <v>951</v>
      </c>
      <c r="O126" s="17" t="s">
        <v>952</v>
      </c>
      <c r="P126" s="17" t="s">
        <v>953</v>
      </c>
      <c r="Q126" s="17" t="s">
        <v>954</v>
      </c>
      <c r="T126" s="20" t="s">
        <v>1973</v>
      </c>
      <c r="U126" s="20" t="s">
        <v>1974</v>
      </c>
      <c r="V126" s="20" t="s">
        <v>1975</v>
      </c>
      <c r="W126" s="20" t="s">
        <v>1976</v>
      </c>
      <c r="X126" s="20" t="s">
        <v>1977</v>
      </c>
    </row>
    <row r="127" customFormat="1" spans="1:24">
      <c r="A127" t="s">
        <v>1978</v>
      </c>
      <c r="B127" s="3">
        <v>125</v>
      </c>
      <c r="C127" s="26">
        <v>402</v>
      </c>
      <c r="D127" s="34" t="s">
        <v>619</v>
      </c>
      <c r="E127" t="str">
        <f t="shared" si="1"/>
        <v>402底流泵</v>
      </c>
      <c r="G127" s="22" t="s">
        <v>903</v>
      </c>
      <c r="H127" s="14">
        <v>729</v>
      </c>
      <c r="K127" t="s">
        <v>955</v>
      </c>
      <c r="M127" s="17" t="s">
        <v>956</v>
      </c>
      <c r="N127" s="17" t="s">
        <v>957</v>
      </c>
      <c r="O127" s="17" t="s">
        <v>958</v>
      </c>
      <c r="P127" s="17" t="s">
        <v>959</v>
      </c>
      <c r="Q127" s="17" t="s">
        <v>960</v>
      </c>
      <c r="T127" s="20" t="s">
        <v>1979</v>
      </c>
      <c r="U127" s="20" t="s">
        <v>1980</v>
      </c>
      <c r="V127" s="20" t="s">
        <v>1981</v>
      </c>
      <c r="W127" s="20" t="s">
        <v>1982</v>
      </c>
      <c r="X127" s="20" t="s">
        <v>1983</v>
      </c>
    </row>
    <row r="128" customFormat="1" spans="1:24">
      <c r="A128" t="s">
        <v>1984</v>
      </c>
      <c r="B128" s="3">
        <v>126</v>
      </c>
      <c r="C128" s="3">
        <v>405</v>
      </c>
      <c r="D128" s="21" t="s">
        <v>632</v>
      </c>
      <c r="E128" t="str">
        <f t="shared" si="1"/>
        <v>405冲洗水泵</v>
      </c>
      <c r="G128" s="22" t="s">
        <v>903</v>
      </c>
      <c r="H128" s="14">
        <v>730</v>
      </c>
      <c r="K128" t="s">
        <v>961</v>
      </c>
      <c r="M128" s="17" t="s">
        <v>962</v>
      </c>
      <c r="N128" s="17" t="s">
        <v>963</v>
      </c>
      <c r="O128" s="17" t="s">
        <v>964</v>
      </c>
      <c r="P128" s="17" t="s">
        <v>965</v>
      </c>
      <c r="Q128" s="17" t="s">
        <v>966</v>
      </c>
      <c r="T128" s="20" t="s">
        <v>1985</v>
      </c>
      <c r="U128" s="20" t="s">
        <v>1986</v>
      </c>
      <c r="V128" s="20" t="s">
        <v>1987</v>
      </c>
      <c r="W128" s="20" t="s">
        <v>1988</v>
      </c>
      <c r="X128" s="20" t="s">
        <v>1989</v>
      </c>
    </row>
    <row r="129" customFormat="1" spans="1:24">
      <c r="A129" t="s">
        <v>1990</v>
      </c>
      <c r="B129" s="3">
        <v>127</v>
      </c>
      <c r="C129" s="3" t="s">
        <v>640</v>
      </c>
      <c r="D129" s="21" t="s">
        <v>639</v>
      </c>
      <c r="E129" t="str">
        <f t="shared" si="1"/>
        <v>711FB电业翻板</v>
      </c>
      <c r="G129" s="22" t="s">
        <v>903</v>
      </c>
      <c r="H129" s="14">
        <v>731</v>
      </c>
      <c r="K129" t="s">
        <v>967</v>
      </c>
      <c r="M129" s="17" t="s">
        <v>968</v>
      </c>
      <c r="N129" s="17" t="s">
        <v>969</v>
      </c>
      <c r="O129" s="17" t="s">
        <v>970</v>
      </c>
      <c r="P129" s="17" t="s">
        <v>971</v>
      </c>
      <c r="Q129" s="17" t="s">
        <v>972</v>
      </c>
      <c r="T129" s="20" t="s">
        <v>1991</v>
      </c>
      <c r="U129" s="20" t="s">
        <v>1992</v>
      </c>
      <c r="V129" s="20" t="s">
        <v>1993</v>
      </c>
      <c r="W129" s="20" t="s">
        <v>1994</v>
      </c>
      <c r="X129" s="20" t="s">
        <v>1995</v>
      </c>
    </row>
    <row r="130" customFormat="1" spans="1:24">
      <c r="A130" t="s">
        <v>1996</v>
      </c>
      <c r="B130" s="3">
        <v>128</v>
      </c>
      <c r="C130" s="3" t="s">
        <v>973</v>
      </c>
      <c r="D130" s="21" t="s">
        <v>974</v>
      </c>
      <c r="E130" t="str">
        <f t="shared" si="1"/>
        <v>702B精煤采制样系统</v>
      </c>
      <c r="G130" s="22" t="s">
        <v>903</v>
      </c>
      <c r="H130" s="14">
        <v>732</v>
      </c>
      <c r="K130" t="s">
        <v>975</v>
      </c>
      <c r="M130" s="17" t="s">
        <v>976</v>
      </c>
      <c r="N130" s="17" t="s">
        <v>977</v>
      </c>
      <c r="O130" s="17" t="s">
        <v>978</v>
      </c>
      <c r="P130" s="17" t="s">
        <v>979</v>
      </c>
      <c r="Q130" s="17" t="s">
        <v>980</v>
      </c>
      <c r="T130" s="20" t="s">
        <v>1997</v>
      </c>
      <c r="U130" s="20" t="s">
        <v>1998</v>
      </c>
      <c r="V130" s="20" t="s">
        <v>1999</v>
      </c>
      <c r="W130" s="20" t="s">
        <v>2000</v>
      </c>
      <c r="X130" s="20" t="s">
        <v>2001</v>
      </c>
    </row>
    <row r="131" customFormat="1" spans="1:24">
      <c r="A131" t="s">
        <v>2002</v>
      </c>
      <c r="B131" s="3">
        <v>129</v>
      </c>
      <c r="C131" s="3" t="s">
        <v>981</v>
      </c>
      <c r="D131" s="21" t="s">
        <v>982</v>
      </c>
      <c r="E131" t="str">
        <f t="shared" si="1"/>
        <v>701B混煤采制样系统</v>
      </c>
      <c r="G131" s="22" t="s">
        <v>903</v>
      </c>
      <c r="H131" s="14">
        <v>733</v>
      </c>
      <c r="K131" t="s">
        <v>983</v>
      </c>
      <c r="M131" s="17" t="s">
        <v>984</v>
      </c>
      <c r="N131" s="17" t="s">
        <v>985</v>
      </c>
      <c r="O131" s="17" t="s">
        <v>986</v>
      </c>
      <c r="P131" s="17" t="s">
        <v>987</v>
      </c>
      <c r="Q131" s="17" t="s">
        <v>988</v>
      </c>
      <c r="T131" s="20" t="s">
        <v>2003</v>
      </c>
      <c r="U131" s="20" t="s">
        <v>2004</v>
      </c>
      <c r="V131" s="20" t="s">
        <v>2005</v>
      </c>
      <c r="W131" s="20" t="s">
        <v>2006</v>
      </c>
      <c r="X131" s="20" t="s">
        <v>2007</v>
      </c>
    </row>
    <row r="132" customFormat="1" spans="1:24">
      <c r="A132" s="27" t="s">
        <v>2008</v>
      </c>
      <c r="B132" s="3">
        <v>130</v>
      </c>
      <c r="C132" s="28">
        <v>345</v>
      </c>
      <c r="D132" s="29" t="s">
        <v>989</v>
      </c>
      <c r="E132" s="27" t="str">
        <f t="shared" si="1"/>
        <v>345压榨水泵电源</v>
      </c>
      <c r="G132" s="22" t="s">
        <v>903</v>
      </c>
      <c r="H132" s="14">
        <v>734</v>
      </c>
      <c r="K132" t="s">
        <v>990</v>
      </c>
      <c r="M132" s="17" t="s">
        <v>991</v>
      </c>
      <c r="N132" s="17" t="s">
        <v>992</v>
      </c>
      <c r="O132" s="17" t="s">
        <v>993</v>
      </c>
      <c r="P132" s="17" t="s">
        <v>994</v>
      </c>
      <c r="Q132" s="17" t="s">
        <v>995</v>
      </c>
      <c r="T132" s="20" t="s">
        <v>2009</v>
      </c>
      <c r="U132" s="20" t="s">
        <v>2010</v>
      </c>
      <c r="V132" s="20" t="s">
        <v>2011</v>
      </c>
      <c r="W132" s="20" t="s">
        <v>2012</v>
      </c>
      <c r="X132" s="20" t="s">
        <v>2013</v>
      </c>
    </row>
    <row r="133" customFormat="1" spans="1:24">
      <c r="A133" t="s">
        <v>2014</v>
      </c>
      <c r="B133" s="3">
        <v>131</v>
      </c>
      <c r="C133" s="3" t="s">
        <v>648</v>
      </c>
      <c r="D133" s="21" t="s">
        <v>647</v>
      </c>
      <c r="E133" t="str">
        <f t="shared" si="1"/>
        <v>711y块精煤分级筛油泵电机</v>
      </c>
      <c r="G133" s="22" t="s">
        <v>903</v>
      </c>
      <c r="H133" s="14">
        <v>735</v>
      </c>
      <c r="K133" t="s">
        <v>996</v>
      </c>
      <c r="M133" s="17" t="s">
        <v>997</v>
      </c>
      <c r="N133" s="17" t="s">
        <v>998</v>
      </c>
      <c r="O133" s="17" t="s">
        <v>999</v>
      </c>
      <c r="P133" s="17" t="s">
        <v>1000</v>
      </c>
      <c r="Q133" s="17" t="s">
        <v>1001</v>
      </c>
      <c r="T133" s="20" t="s">
        <v>2015</v>
      </c>
      <c r="U133" s="20" t="s">
        <v>2016</v>
      </c>
      <c r="V133" s="20" t="s">
        <v>2017</v>
      </c>
      <c r="W133" s="20" t="s">
        <v>1477</v>
      </c>
      <c r="X133" s="20" t="s">
        <v>2018</v>
      </c>
    </row>
    <row r="134" customFormat="1" spans="1:24">
      <c r="A134" t="s">
        <v>2019</v>
      </c>
      <c r="B134" s="3">
        <v>132</v>
      </c>
      <c r="C134" s="3" t="s">
        <v>1002</v>
      </c>
      <c r="D134" s="21" t="s">
        <v>1003</v>
      </c>
      <c r="E134" t="str">
        <f t="shared" si="1"/>
        <v>711b产品仓上块精煤分级筛</v>
      </c>
      <c r="G134" s="22" t="s">
        <v>903</v>
      </c>
      <c r="H134" s="14">
        <v>736</v>
      </c>
      <c r="K134" t="s">
        <v>1004</v>
      </c>
      <c r="M134" s="17"/>
      <c r="N134" s="17"/>
      <c r="O134" s="17"/>
      <c r="P134" s="17"/>
      <c r="Q134" s="17"/>
      <c r="T134" s="20"/>
      <c r="U134" s="20"/>
      <c r="V134" s="20"/>
      <c r="W134" s="20"/>
      <c r="X134" s="20"/>
    </row>
    <row r="135" customFormat="1" ht="28" spans="1:24">
      <c r="A135" t="s">
        <v>2020</v>
      </c>
      <c r="B135" s="3">
        <v>133</v>
      </c>
      <c r="C135" s="3" t="s">
        <v>1005</v>
      </c>
      <c r="D135" s="21" t="s">
        <v>1003</v>
      </c>
      <c r="E135" t="str">
        <f t="shared" si="1"/>
        <v>711a产品仓上块精煤分级筛</v>
      </c>
      <c r="G135" s="25" t="s">
        <v>17</v>
      </c>
      <c r="H135" s="46">
        <v>301</v>
      </c>
      <c r="K135" t="s">
        <v>1006</v>
      </c>
      <c r="M135" s="17"/>
      <c r="N135" s="17"/>
      <c r="O135" s="17"/>
      <c r="P135" s="17"/>
      <c r="Q135" s="17"/>
      <c r="T135" s="20"/>
      <c r="U135" s="20"/>
      <c r="V135" s="20"/>
      <c r="W135" s="20"/>
      <c r="X135" s="20"/>
    </row>
    <row r="136" customFormat="1" ht="28" spans="1:24">
      <c r="A136" t="s">
        <v>2021</v>
      </c>
      <c r="B136" s="3">
        <v>134</v>
      </c>
      <c r="C136" s="3" t="s">
        <v>656</v>
      </c>
      <c r="D136" s="21" t="s">
        <v>655</v>
      </c>
      <c r="E136" t="str">
        <f t="shared" si="1"/>
        <v>713EZ混煤配仓闸门液压站</v>
      </c>
      <c r="G136" s="25" t="s">
        <v>27</v>
      </c>
      <c r="H136" s="46">
        <v>121</v>
      </c>
      <c r="K136" t="s">
        <v>1007</v>
      </c>
      <c r="M136" s="17"/>
      <c r="N136" s="17"/>
      <c r="O136" s="17"/>
      <c r="P136" s="17"/>
      <c r="Q136" s="17"/>
      <c r="T136" s="20"/>
      <c r="U136" s="20"/>
      <c r="V136" s="20"/>
      <c r="W136" s="20"/>
      <c r="X136" s="20"/>
    </row>
    <row r="137" customFormat="1" spans="1:24">
      <c r="A137" t="s">
        <v>2022</v>
      </c>
      <c r="B137" s="3">
        <v>135</v>
      </c>
      <c r="C137" s="3" t="s">
        <v>664</v>
      </c>
      <c r="D137" s="21" t="s">
        <v>655</v>
      </c>
      <c r="E137" t="str">
        <f t="shared" si="1"/>
        <v>713GZ混煤配仓闸门液压站</v>
      </c>
      <c r="G137" s="25" t="s">
        <v>37</v>
      </c>
      <c r="H137" s="46">
        <v>141</v>
      </c>
      <c r="K137" t="s">
        <v>1008</v>
      </c>
      <c r="M137" s="17"/>
      <c r="N137" s="17"/>
      <c r="O137" s="17"/>
      <c r="P137" s="17"/>
      <c r="Q137" s="17"/>
      <c r="T137" s="20"/>
      <c r="U137" s="20"/>
      <c r="V137" s="20"/>
      <c r="W137" s="20"/>
      <c r="X137" s="20"/>
    </row>
    <row r="138" customFormat="1" ht="28" spans="1:24">
      <c r="A138" t="s">
        <v>2023</v>
      </c>
      <c r="B138" s="3">
        <v>136</v>
      </c>
      <c r="C138" s="3" t="s">
        <v>673</v>
      </c>
      <c r="D138" s="21" t="s">
        <v>655</v>
      </c>
      <c r="E138" t="str">
        <f t="shared" si="1"/>
        <v>713AZ混煤配仓闸门液压站</v>
      </c>
      <c r="G138" s="25" t="s">
        <v>131</v>
      </c>
      <c r="H138" s="46">
        <v>911</v>
      </c>
      <c r="K138" t="s">
        <v>1009</v>
      </c>
      <c r="M138" s="17"/>
      <c r="N138" s="17"/>
      <c r="O138" s="17"/>
      <c r="P138" s="17"/>
      <c r="Q138" s="17"/>
      <c r="T138" s="20"/>
      <c r="U138" s="20"/>
      <c r="V138" s="20"/>
      <c r="W138" s="20"/>
      <c r="X138" s="20"/>
    </row>
    <row r="139" customFormat="1" spans="1:24">
      <c r="A139" t="s">
        <v>2024</v>
      </c>
      <c r="B139" s="3">
        <v>137</v>
      </c>
      <c r="C139" s="3" t="s">
        <v>681</v>
      </c>
      <c r="D139" s="21" t="s">
        <v>655</v>
      </c>
      <c r="E139" t="str">
        <f t="shared" si="1"/>
        <v>713CZ混煤配仓闸门液压站</v>
      </c>
      <c r="G139" s="25" t="s">
        <v>140</v>
      </c>
      <c r="H139" s="46">
        <v>122</v>
      </c>
      <c r="K139" t="s">
        <v>1010</v>
      </c>
      <c r="M139" s="17"/>
      <c r="N139" s="17"/>
      <c r="O139" s="17"/>
      <c r="P139" s="17"/>
      <c r="Q139" s="17"/>
      <c r="T139" s="20"/>
      <c r="U139" s="20"/>
      <c r="V139" s="20"/>
      <c r="W139" s="20"/>
      <c r="X139" s="20"/>
    </row>
    <row r="140" customFormat="1" spans="1:24">
      <c r="A140" t="s">
        <v>2025</v>
      </c>
      <c r="B140" s="3">
        <v>138</v>
      </c>
      <c r="C140" s="3" t="s">
        <v>690</v>
      </c>
      <c r="D140" s="21" t="s">
        <v>1011</v>
      </c>
      <c r="E140" t="str">
        <f t="shared" si="1"/>
        <v>712EZ精煤配仓闸门液压站</v>
      </c>
      <c r="G140" s="25" t="s">
        <v>194</v>
      </c>
      <c r="H140" s="46">
        <v>901</v>
      </c>
      <c r="K140" t="s">
        <v>1012</v>
      </c>
      <c r="M140" s="17"/>
      <c r="N140" s="17"/>
      <c r="O140" s="17"/>
      <c r="P140" s="17"/>
      <c r="Q140" s="17"/>
      <c r="T140" s="20"/>
      <c r="U140" s="20"/>
      <c r="V140" s="20"/>
      <c r="W140" s="20"/>
      <c r="X140" s="20"/>
    </row>
    <row r="141" customFormat="1" spans="1:24">
      <c r="A141" t="s">
        <v>2026</v>
      </c>
      <c r="B141" s="3">
        <v>139</v>
      </c>
      <c r="C141" s="3" t="s">
        <v>698</v>
      </c>
      <c r="D141" s="21" t="s">
        <v>1011</v>
      </c>
      <c r="E141" t="str">
        <f t="shared" si="1"/>
        <v>712GZ精煤配仓闸门液压站</v>
      </c>
      <c r="G141" s="25" t="s">
        <v>435</v>
      </c>
      <c r="H141" s="46">
        <v>320</v>
      </c>
      <c r="K141" t="s">
        <v>1013</v>
      </c>
      <c r="M141" s="17"/>
      <c r="N141" s="17"/>
      <c r="O141" s="17"/>
      <c r="P141" s="17"/>
      <c r="Q141" s="17"/>
      <c r="T141" s="20"/>
      <c r="U141" s="20"/>
      <c r="V141" s="20"/>
      <c r="W141" s="20"/>
      <c r="X141" s="20"/>
    </row>
    <row r="142" customFormat="1" spans="1:24">
      <c r="A142" t="s">
        <v>2027</v>
      </c>
      <c r="B142" s="3">
        <v>140</v>
      </c>
      <c r="C142" s="3" t="s">
        <v>705</v>
      </c>
      <c r="D142" s="21" t="s">
        <v>1011</v>
      </c>
      <c r="E142" t="str">
        <f t="shared" si="1"/>
        <v>712AZ精煤配仓闸门液压站</v>
      </c>
      <c r="G142" s="25" t="s">
        <v>443</v>
      </c>
      <c r="H142" s="46">
        <v>321</v>
      </c>
      <c r="K142" t="s">
        <v>1014</v>
      </c>
      <c r="M142" s="17"/>
      <c r="N142" s="17"/>
      <c r="O142" s="17"/>
      <c r="P142" s="17"/>
      <c r="Q142" s="17"/>
      <c r="T142" s="20"/>
      <c r="U142" s="20"/>
      <c r="V142" s="20"/>
      <c r="W142" s="20"/>
      <c r="X142" s="20"/>
    </row>
    <row r="143" customFormat="1" spans="1:24">
      <c r="A143" t="s">
        <v>2028</v>
      </c>
      <c r="B143" s="3">
        <v>141</v>
      </c>
      <c r="C143" s="3" t="s">
        <v>713</v>
      </c>
      <c r="D143" s="21" t="s">
        <v>1011</v>
      </c>
      <c r="E143" t="str">
        <f t="shared" si="1"/>
        <v>712CZ精煤配仓闸门液压站</v>
      </c>
      <c r="G143" s="25" t="s">
        <v>712</v>
      </c>
      <c r="H143" s="46">
        <v>713</v>
      </c>
      <c r="K143" t="s">
        <v>1015</v>
      </c>
      <c r="M143" s="17"/>
      <c r="N143" s="17"/>
      <c r="O143" s="17"/>
      <c r="P143" s="17"/>
      <c r="Q143" s="17"/>
      <c r="T143" s="20"/>
      <c r="U143" s="20"/>
      <c r="V143" s="20"/>
      <c r="W143" s="20"/>
      <c r="X143" s="20"/>
    </row>
    <row r="144" customFormat="1" spans="1:24">
      <c r="A144" t="s">
        <v>2029</v>
      </c>
      <c r="B144" s="3">
        <v>142</v>
      </c>
      <c r="C144" s="3">
        <v>338</v>
      </c>
      <c r="D144" s="21" t="s">
        <v>720</v>
      </c>
      <c r="E144" t="str">
        <f t="shared" si="1"/>
        <v>338清水泵</v>
      </c>
      <c r="G144" s="25" t="s">
        <v>712</v>
      </c>
      <c r="H144" s="46">
        <v>712</v>
      </c>
      <c r="K144" t="s">
        <v>1016</v>
      </c>
      <c r="M144" s="17" t="s">
        <v>1017</v>
      </c>
      <c r="N144" s="17" t="s">
        <v>1018</v>
      </c>
      <c r="O144" s="17" t="s">
        <v>1019</v>
      </c>
      <c r="P144" s="17" t="s">
        <v>1020</v>
      </c>
      <c r="Q144" s="17" t="s">
        <v>1021</v>
      </c>
      <c r="T144" s="20" t="s">
        <v>2030</v>
      </c>
      <c r="U144" s="20" t="s">
        <v>2031</v>
      </c>
      <c r="V144" s="20" t="s">
        <v>2032</v>
      </c>
      <c r="W144" s="20" t="s">
        <v>2033</v>
      </c>
      <c r="X144" s="20" t="s">
        <v>2034</v>
      </c>
    </row>
    <row r="145" customFormat="1" ht="28" spans="1:24">
      <c r="A145" t="s">
        <v>2035</v>
      </c>
      <c r="B145" s="3">
        <v>143</v>
      </c>
      <c r="C145" s="47" t="s">
        <v>1022</v>
      </c>
      <c r="D145" s="21" t="s">
        <v>1023</v>
      </c>
      <c r="E145" t="str">
        <f t="shared" si="1"/>
        <v>AA1消防泵房电源</v>
      </c>
      <c r="G145" s="25" t="s">
        <v>751</v>
      </c>
      <c r="H145" s="46">
        <v>701</v>
      </c>
      <c r="K145" t="s">
        <v>1024</v>
      </c>
      <c r="M145" s="17"/>
      <c r="N145" s="17"/>
      <c r="O145" s="17"/>
      <c r="P145" s="17"/>
      <c r="Q145" s="17"/>
      <c r="T145" s="20"/>
      <c r="U145" s="20"/>
      <c r="V145" s="20"/>
      <c r="W145" s="20"/>
      <c r="X145" s="20"/>
    </row>
    <row r="146" customFormat="1" spans="1:24">
      <c r="A146" t="s">
        <v>2036</v>
      </c>
      <c r="B146" s="3">
        <v>144</v>
      </c>
      <c r="C146" s="47">
        <v>325</v>
      </c>
      <c r="D146" s="21" t="s">
        <v>1025</v>
      </c>
      <c r="E146" t="str">
        <f t="shared" si="1"/>
        <v>325电动双梁起重机</v>
      </c>
      <c r="G146" s="25" t="s">
        <v>781</v>
      </c>
      <c r="H146" s="46">
        <v>351</v>
      </c>
      <c r="K146" t="s">
        <v>1026</v>
      </c>
      <c r="M146" s="17"/>
      <c r="N146" s="17"/>
      <c r="O146" s="17"/>
      <c r="P146" s="17"/>
      <c r="Q146" s="17"/>
      <c r="T146" s="20"/>
      <c r="U146" s="20"/>
      <c r="V146" s="20"/>
      <c r="W146" s="20"/>
      <c r="X146" s="20"/>
    </row>
    <row r="147" customFormat="1" spans="1:24">
      <c r="A147" t="s">
        <v>2037</v>
      </c>
      <c r="B147" s="3">
        <v>145</v>
      </c>
      <c r="C147" s="47" t="s">
        <v>1027</v>
      </c>
      <c r="D147" s="21" t="s">
        <v>1028</v>
      </c>
      <c r="E147" t="str">
        <f t="shared" si="1"/>
        <v>1AP主厂房照明电源</v>
      </c>
      <c r="G147" s="48" t="s">
        <v>916</v>
      </c>
      <c r="H147" s="49">
        <v>353</v>
      </c>
      <c r="K147" t="s">
        <v>1029</v>
      </c>
      <c r="M147" s="17"/>
      <c r="N147" s="17"/>
      <c r="O147" s="17"/>
      <c r="P147" s="17"/>
      <c r="Q147" s="17"/>
      <c r="T147" s="20"/>
      <c r="U147" s="20"/>
      <c r="V147" s="20"/>
      <c r="W147" s="20"/>
      <c r="X147" s="20"/>
    </row>
    <row r="148" customFormat="1" spans="1:24">
      <c r="A148" t="s">
        <v>2038</v>
      </c>
      <c r="B148" s="3">
        <v>146</v>
      </c>
      <c r="C148" s="47" t="s">
        <v>1030</v>
      </c>
      <c r="D148" s="21" t="s">
        <v>1031</v>
      </c>
      <c r="E148" t="str">
        <f t="shared" si="1"/>
        <v>1ACL-Z产品仓应激照明总电源</v>
      </c>
      <c r="G148" s="25" t="s">
        <v>789</v>
      </c>
      <c r="H148" s="14">
        <v>349</v>
      </c>
      <c r="K148" t="s">
        <v>1032</v>
      </c>
      <c r="M148" s="17"/>
      <c r="N148" s="17"/>
      <c r="O148" s="17"/>
      <c r="P148" s="17"/>
      <c r="Q148" s="17"/>
      <c r="T148" s="20"/>
      <c r="U148" s="20"/>
      <c r="V148" s="20"/>
      <c r="W148" s="20"/>
      <c r="X148" s="20"/>
    </row>
    <row r="149" customFormat="1" spans="1:24">
      <c r="A149" t="s">
        <v>2039</v>
      </c>
      <c r="B149" s="3">
        <v>147</v>
      </c>
      <c r="C149" s="47" t="s">
        <v>1033</v>
      </c>
      <c r="D149" s="21" t="s">
        <v>1034</v>
      </c>
      <c r="E149" t="str">
        <f t="shared" si="1"/>
        <v>PSB2X11原煤储煤场下消防排水泵</v>
      </c>
      <c r="G149" s="25" t="s">
        <v>789</v>
      </c>
      <c r="H149" s="14">
        <v>350</v>
      </c>
      <c r="K149" t="s">
        <v>1035</v>
      </c>
      <c r="M149" s="17"/>
      <c r="N149" s="17"/>
      <c r="O149" s="17"/>
      <c r="P149" s="17"/>
      <c r="Q149" s="17"/>
      <c r="T149" s="20"/>
      <c r="U149" s="20"/>
      <c r="V149" s="20"/>
      <c r="W149" s="20"/>
      <c r="X149" s="20"/>
    </row>
    <row r="150" customFormat="1" spans="1:24">
      <c r="A150" t="s">
        <v>2040</v>
      </c>
      <c r="B150" s="3">
        <v>148</v>
      </c>
      <c r="C150" s="47" t="s">
        <v>1036</v>
      </c>
      <c r="D150" s="21" t="s">
        <v>1037</v>
      </c>
      <c r="E150" t="str">
        <f t="shared" si="1"/>
        <v>AP1办公楼电源</v>
      </c>
      <c r="K150" t="s">
        <v>1038</v>
      </c>
      <c r="M150" s="17"/>
      <c r="N150" s="17"/>
      <c r="O150" s="17"/>
      <c r="P150" s="17"/>
      <c r="Q150" s="17"/>
      <c r="T150" s="20"/>
      <c r="U150" s="20"/>
      <c r="V150" s="20"/>
      <c r="W150" s="20"/>
      <c r="X150" s="20"/>
    </row>
    <row r="151" customFormat="1" spans="1:24">
      <c r="A151" t="s">
        <v>2041</v>
      </c>
      <c r="B151" s="3">
        <v>149</v>
      </c>
      <c r="C151" s="47" t="s">
        <v>1039</v>
      </c>
      <c r="D151" s="21" t="s">
        <v>1040</v>
      </c>
      <c r="E151" t="str">
        <f t="shared" si="1"/>
        <v>HRJZ1X高区换热机组电源</v>
      </c>
      <c r="K151" t="s">
        <v>1041</v>
      </c>
      <c r="M151" s="17"/>
      <c r="N151" s="17"/>
      <c r="O151" s="17"/>
      <c r="P151" s="17"/>
      <c r="Q151" s="17"/>
      <c r="T151" s="20"/>
      <c r="U151" s="20"/>
      <c r="V151" s="20"/>
      <c r="W151" s="20"/>
      <c r="X151" s="20"/>
    </row>
    <row r="152" customFormat="1" spans="1:24">
      <c r="A152" t="s">
        <v>2042</v>
      </c>
      <c r="B152" s="3">
        <v>150</v>
      </c>
      <c r="C152" s="47" t="s">
        <v>1042</v>
      </c>
      <c r="D152" s="21" t="s">
        <v>1023</v>
      </c>
      <c r="E152" t="str">
        <f t="shared" si="1"/>
        <v>AA3消防泵房电源</v>
      </c>
      <c r="K152" t="s">
        <v>1043</v>
      </c>
      <c r="M152" s="17"/>
      <c r="N152" s="17"/>
      <c r="O152" s="17"/>
      <c r="P152" s="17"/>
      <c r="Q152" s="17"/>
      <c r="T152" s="20"/>
      <c r="U152" s="20"/>
      <c r="V152" s="20"/>
      <c r="W152" s="20"/>
      <c r="X152" s="20"/>
    </row>
    <row r="153" customFormat="1" spans="1:24">
      <c r="A153" t="s">
        <v>2043</v>
      </c>
      <c r="B153" s="3">
        <v>151</v>
      </c>
      <c r="C153" s="47" t="s">
        <v>1044</v>
      </c>
      <c r="D153" s="21" t="s">
        <v>1045</v>
      </c>
      <c r="E153" t="str">
        <f t="shared" si="1"/>
        <v>31M4X变电所照明电源</v>
      </c>
      <c r="K153" t="s">
        <v>1046</v>
      </c>
      <c r="M153" s="17"/>
      <c r="N153" s="17"/>
      <c r="O153" s="17"/>
      <c r="P153" s="17"/>
      <c r="Q153" s="17"/>
      <c r="T153" s="20"/>
      <c r="U153" s="20"/>
      <c r="V153" s="20"/>
      <c r="W153" s="20"/>
      <c r="X153" s="20"/>
    </row>
    <row r="154" customFormat="1" spans="1:24">
      <c r="A154" t="s">
        <v>2044</v>
      </c>
      <c r="B154" s="3">
        <v>152</v>
      </c>
      <c r="C154" s="47" t="s">
        <v>1047</v>
      </c>
      <c r="D154" s="21" t="s">
        <v>1048</v>
      </c>
      <c r="E154" t="str">
        <f t="shared" si="1"/>
        <v>1AL-1原煤缓冲仓照明总电源</v>
      </c>
      <c r="K154" t="s">
        <v>1049</v>
      </c>
      <c r="M154" s="17"/>
      <c r="N154" s="17"/>
      <c r="O154" s="17"/>
      <c r="P154" s="17"/>
      <c r="Q154" s="17"/>
      <c r="T154" s="20"/>
      <c r="U154" s="20"/>
      <c r="V154" s="20"/>
      <c r="W154" s="20"/>
      <c r="X154" s="20"/>
    </row>
    <row r="155" customFormat="1" spans="1:24">
      <c r="A155" t="s">
        <v>2045</v>
      </c>
      <c r="B155" s="3">
        <v>153</v>
      </c>
      <c r="C155" s="3" t="s">
        <v>1050</v>
      </c>
      <c r="D155" s="21" t="s">
        <v>1051</v>
      </c>
      <c r="E155" t="str">
        <f t="shared" si="1"/>
        <v>31AP1煤样室电源</v>
      </c>
      <c r="K155" t="s">
        <v>1052</v>
      </c>
      <c r="M155" s="17"/>
      <c r="N155" s="17"/>
      <c r="O155" s="17"/>
      <c r="P155" s="17"/>
      <c r="Q155" s="17"/>
      <c r="T155" s="20"/>
      <c r="U155" s="20"/>
      <c r="V155" s="20"/>
      <c r="W155" s="20"/>
      <c r="X155" s="20"/>
    </row>
    <row r="156" customFormat="1" spans="1:24">
      <c r="A156" t="s">
        <v>2046</v>
      </c>
      <c r="B156" s="3">
        <v>154</v>
      </c>
      <c r="C156" s="3" t="s">
        <v>1053</v>
      </c>
      <c r="D156" s="21" t="s">
        <v>1054</v>
      </c>
      <c r="E156" t="str">
        <f t="shared" si="1"/>
        <v>NSMX浓缩车间照明电源</v>
      </c>
      <c r="K156" t="s">
        <v>1055</v>
      </c>
      <c r="M156" s="17"/>
      <c r="N156" s="17"/>
      <c r="O156" s="17"/>
      <c r="P156" s="17"/>
      <c r="Q156" s="17"/>
      <c r="T156" s="20"/>
      <c r="U156" s="20"/>
      <c r="V156" s="20"/>
      <c r="W156" s="20"/>
      <c r="X156" s="20"/>
    </row>
    <row r="157" customFormat="1" spans="1:24">
      <c r="A157" t="s">
        <v>2047</v>
      </c>
      <c r="B157" s="3">
        <v>155</v>
      </c>
      <c r="C157" s="3" t="s">
        <v>1056</v>
      </c>
      <c r="D157" s="21" t="s">
        <v>1057</v>
      </c>
      <c r="E157" t="str">
        <f t="shared" si="1"/>
        <v>XFP1消防炮电源</v>
      </c>
      <c r="K157" t="s">
        <v>1058</v>
      </c>
      <c r="M157" s="17"/>
      <c r="N157" s="17"/>
      <c r="O157" s="17"/>
      <c r="P157" s="17"/>
      <c r="Q157" s="17"/>
      <c r="T157" s="20"/>
      <c r="U157" s="20"/>
      <c r="V157" s="20"/>
      <c r="W157" s="20"/>
      <c r="X157" s="20"/>
    </row>
    <row r="158" customFormat="1" spans="1:24">
      <c r="A158" t="s">
        <v>2048</v>
      </c>
      <c r="B158" s="3">
        <v>156</v>
      </c>
      <c r="C158" s="3" t="s">
        <v>1059</v>
      </c>
      <c r="D158" s="21" t="s">
        <v>1057</v>
      </c>
      <c r="E158" t="str">
        <f t="shared" si="1"/>
        <v>XFP2消防炮电源</v>
      </c>
      <c r="K158" t="s">
        <v>1060</v>
      </c>
      <c r="M158" s="17"/>
      <c r="N158" s="17"/>
      <c r="O158" s="17"/>
      <c r="P158" s="17"/>
      <c r="Q158" s="17"/>
      <c r="T158" s="20"/>
      <c r="U158" s="20"/>
      <c r="V158" s="20"/>
      <c r="W158" s="20"/>
      <c r="X158" s="20"/>
    </row>
    <row r="159" customFormat="1" spans="1:24">
      <c r="A159" t="s">
        <v>2049</v>
      </c>
      <c r="B159" s="3">
        <v>157</v>
      </c>
      <c r="C159" s="3" t="s">
        <v>1061</v>
      </c>
      <c r="D159" s="21" t="s">
        <v>1057</v>
      </c>
      <c r="E159" t="str">
        <f t="shared" si="1"/>
        <v>XFP3消防炮电源</v>
      </c>
      <c r="K159" t="s">
        <v>1062</v>
      </c>
      <c r="M159" s="17"/>
      <c r="N159" s="17"/>
      <c r="O159" s="17"/>
      <c r="P159" s="17"/>
      <c r="Q159" s="17"/>
      <c r="T159" s="20"/>
      <c r="U159" s="20"/>
      <c r="V159" s="20"/>
      <c r="W159" s="20"/>
      <c r="X159" s="20"/>
    </row>
    <row r="160" customFormat="1" spans="1:24">
      <c r="A160" t="s">
        <v>2050</v>
      </c>
      <c r="B160" s="3">
        <v>158</v>
      </c>
      <c r="C160" s="3" t="s">
        <v>1063</v>
      </c>
      <c r="D160" s="21" t="s">
        <v>1064</v>
      </c>
      <c r="E160" t="str">
        <f t="shared" si="1"/>
        <v>PLCA1控制电源</v>
      </c>
      <c r="K160" t="s">
        <v>1065</v>
      </c>
      <c r="M160" s="17"/>
      <c r="N160" s="17"/>
      <c r="O160" s="17"/>
      <c r="P160" s="17"/>
      <c r="Q160" s="17"/>
      <c r="T160" s="20"/>
      <c r="U160" s="20"/>
      <c r="V160" s="20"/>
      <c r="W160" s="20"/>
      <c r="X160" s="20"/>
    </row>
    <row r="161" customFormat="1" spans="1:24">
      <c r="A161" t="s">
        <v>2051</v>
      </c>
      <c r="B161" s="3">
        <v>159</v>
      </c>
      <c r="C161" s="3" t="s">
        <v>1066</v>
      </c>
      <c r="D161" s="21" t="s">
        <v>1067</v>
      </c>
      <c r="E161" t="str">
        <f t="shared" si="1"/>
        <v>31AP3配电箱电源</v>
      </c>
      <c r="K161" t="s">
        <v>1068</v>
      </c>
      <c r="M161" s="17"/>
      <c r="N161" s="17"/>
      <c r="O161" s="17"/>
      <c r="P161" s="17"/>
      <c r="Q161" s="17"/>
      <c r="T161" s="20"/>
      <c r="U161" s="20"/>
      <c r="V161" s="20"/>
      <c r="W161" s="20"/>
      <c r="X161" s="20"/>
    </row>
    <row r="162" customFormat="1" spans="1:24">
      <c r="A162" t="s">
        <v>2052</v>
      </c>
      <c r="B162" s="3">
        <v>160</v>
      </c>
      <c r="C162" s="3" t="s">
        <v>1069</v>
      </c>
      <c r="D162" s="21" t="s">
        <v>1070</v>
      </c>
      <c r="E162" t="str">
        <f t="shared" si="1"/>
        <v>31WYB消防增压稳压水泵</v>
      </c>
      <c r="K162" t="s">
        <v>1071</v>
      </c>
      <c r="M162" s="17"/>
      <c r="N162" s="17"/>
      <c r="O162" s="17"/>
      <c r="P162" s="17"/>
      <c r="Q162" s="17"/>
      <c r="T162" s="20"/>
      <c r="U162" s="20"/>
      <c r="V162" s="20"/>
      <c r="W162" s="20"/>
      <c r="X162" s="20"/>
    </row>
    <row r="163" customFormat="1" spans="1:24">
      <c r="A163" t="s">
        <v>2053</v>
      </c>
      <c r="B163" s="3">
        <v>161</v>
      </c>
      <c r="C163" s="3" t="s">
        <v>1072</v>
      </c>
      <c r="D163" s="21" t="s">
        <v>1073</v>
      </c>
      <c r="E163" t="str">
        <f t="shared" si="1"/>
        <v>RSJZX生活热水机组电源</v>
      </c>
      <c r="K163" t="s">
        <v>1074</v>
      </c>
      <c r="M163" s="17"/>
      <c r="N163" s="17"/>
      <c r="O163" s="17"/>
      <c r="P163" s="17"/>
      <c r="Q163" s="17"/>
      <c r="T163" s="20"/>
      <c r="U163" s="20"/>
      <c r="V163" s="20"/>
      <c r="W163" s="20"/>
      <c r="X163" s="20"/>
    </row>
    <row r="164" customFormat="1" spans="1:24">
      <c r="A164" t="s">
        <v>2054</v>
      </c>
      <c r="B164" s="3">
        <v>162</v>
      </c>
      <c r="C164" s="3" t="s">
        <v>1075</v>
      </c>
      <c r="D164" s="21" t="s">
        <v>1076</v>
      </c>
      <c r="E164" t="str">
        <f t="shared" si="1"/>
        <v>JHZMX热交换站照明电源</v>
      </c>
      <c r="K164" t="s">
        <v>1077</v>
      </c>
      <c r="M164" s="17"/>
      <c r="N164" s="17"/>
      <c r="O164" s="17"/>
      <c r="P164" s="17"/>
      <c r="Q164" s="17"/>
      <c r="T164" s="20"/>
      <c r="U164" s="20"/>
      <c r="V164" s="20"/>
      <c r="W164" s="20"/>
      <c r="X164" s="20"/>
    </row>
    <row r="165" customFormat="1" spans="1:24">
      <c r="A165" t="s">
        <v>2055</v>
      </c>
      <c r="B165" s="3">
        <v>163</v>
      </c>
      <c r="C165" s="3" t="s">
        <v>1047</v>
      </c>
      <c r="D165" s="21" t="s">
        <v>1078</v>
      </c>
      <c r="E165" t="str">
        <f t="shared" si="1"/>
        <v>1AL-1矸石仓那照明总电源</v>
      </c>
      <c r="K165" t="s">
        <v>1079</v>
      </c>
      <c r="M165" s="17"/>
      <c r="N165" s="17"/>
      <c r="O165" s="17"/>
      <c r="P165" s="17"/>
      <c r="Q165" s="17"/>
      <c r="T165" s="20"/>
      <c r="U165" s="20"/>
      <c r="V165" s="20"/>
      <c r="W165" s="20"/>
      <c r="X165" s="20"/>
    </row>
    <row r="166" customFormat="1" spans="1:24">
      <c r="A166" t="s">
        <v>1080</v>
      </c>
      <c r="B166" s="3">
        <v>164</v>
      </c>
      <c r="C166" s="3"/>
      <c r="D166" s="21" t="s">
        <v>1080</v>
      </c>
      <c r="E166" t="str">
        <f t="shared" si="1"/>
        <v>控制电源PLCA1</v>
      </c>
      <c r="K166" t="s">
        <v>1081</v>
      </c>
      <c r="M166" s="17"/>
      <c r="N166" s="17"/>
      <c r="O166" s="17"/>
      <c r="P166" s="17"/>
      <c r="Q166" s="17"/>
      <c r="T166" s="20"/>
      <c r="U166" s="20"/>
      <c r="V166" s="20"/>
      <c r="W166" s="20"/>
      <c r="X166" s="20"/>
    </row>
    <row r="167" customFormat="1" spans="1:24">
      <c r="A167" t="s">
        <v>1082</v>
      </c>
      <c r="B167" s="3">
        <v>165</v>
      </c>
      <c r="C167" s="3"/>
      <c r="D167" s="21" t="s">
        <v>1082</v>
      </c>
      <c r="E167" t="str">
        <f t="shared" ref="E167:E218" si="2">C167&amp;D167</f>
        <v>消防泵房电源AA3</v>
      </c>
      <c r="K167" t="s">
        <v>1083</v>
      </c>
      <c r="M167" s="17"/>
      <c r="N167" s="17"/>
      <c r="O167" s="17"/>
      <c r="P167" s="17"/>
      <c r="Q167" s="17"/>
      <c r="T167" s="20"/>
      <c r="U167" s="20"/>
      <c r="V167" s="20"/>
      <c r="W167" s="20"/>
      <c r="X167" s="20"/>
    </row>
    <row r="168" customFormat="1" spans="1:24">
      <c r="A168" t="s">
        <v>2056</v>
      </c>
      <c r="B168" s="3">
        <v>166</v>
      </c>
      <c r="C168" s="3" t="s">
        <v>1084</v>
      </c>
      <c r="D168" s="21" t="s">
        <v>1085</v>
      </c>
      <c r="E168" t="str">
        <f t="shared" si="2"/>
        <v>11AP管状皮带检修电源</v>
      </c>
      <c r="K168" t="s">
        <v>1086</v>
      </c>
      <c r="M168" s="17"/>
      <c r="N168" s="17"/>
      <c r="O168" s="17"/>
      <c r="P168" s="17"/>
      <c r="Q168" s="17"/>
      <c r="T168" s="20"/>
      <c r="U168" s="20"/>
      <c r="V168" s="20"/>
      <c r="W168" s="20"/>
      <c r="X168" s="20"/>
    </row>
    <row r="169" customFormat="1" spans="1:24">
      <c r="A169" t="s">
        <v>2057</v>
      </c>
      <c r="B169" s="3">
        <v>167</v>
      </c>
      <c r="C169" s="3" t="s">
        <v>1069</v>
      </c>
      <c r="D169" s="21" t="s">
        <v>1087</v>
      </c>
      <c r="E169" t="str">
        <f t="shared" si="2"/>
        <v>31WYB消防增压稳压水泵1</v>
      </c>
      <c r="K169" t="s">
        <v>1088</v>
      </c>
      <c r="M169" s="17"/>
      <c r="N169" s="17"/>
      <c r="O169" s="17"/>
      <c r="P169" s="17"/>
      <c r="Q169" s="17"/>
      <c r="T169" s="20"/>
      <c r="U169" s="20"/>
      <c r="V169" s="20"/>
      <c r="W169" s="20"/>
      <c r="X169" s="20"/>
    </row>
    <row r="170" customFormat="1" spans="1:24">
      <c r="A170" t="s">
        <v>2058</v>
      </c>
      <c r="B170" s="3">
        <v>168</v>
      </c>
      <c r="C170" s="3" t="s">
        <v>1089</v>
      </c>
      <c r="D170" s="21" t="s">
        <v>1090</v>
      </c>
      <c r="E170" t="str">
        <f t="shared" si="2"/>
        <v>PSB原煤储煤场消防排水泵</v>
      </c>
      <c r="K170" t="s">
        <v>1091</v>
      </c>
      <c r="M170" s="17"/>
      <c r="N170" s="17"/>
      <c r="O170" s="17"/>
      <c r="P170" s="17"/>
      <c r="Q170" s="17"/>
      <c r="T170" s="20"/>
      <c r="U170" s="20"/>
      <c r="V170" s="20"/>
      <c r="W170" s="20"/>
      <c r="X170" s="20"/>
    </row>
    <row r="171" customFormat="1" spans="1:24">
      <c r="A171" t="s">
        <v>2059</v>
      </c>
      <c r="B171" s="3">
        <v>169</v>
      </c>
      <c r="C171" s="3" t="s">
        <v>1030</v>
      </c>
      <c r="D171" s="21" t="s">
        <v>1092</v>
      </c>
      <c r="E171" t="str">
        <f t="shared" si="2"/>
        <v>1ACL-Z产品仓应激照明总电源1</v>
      </c>
      <c r="K171" t="s">
        <v>1093</v>
      </c>
      <c r="M171" s="17"/>
      <c r="N171" s="17"/>
      <c r="O171" s="17"/>
      <c r="P171" s="17"/>
      <c r="Q171" s="17"/>
      <c r="T171" s="20"/>
      <c r="U171" s="20"/>
      <c r="V171" s="20"/>
      <c r="W171" s="20"/>
      <c r="X171" s="20"/>
    </row>
    <row r="172" customFormat="1" spans="1:24">
      <c r="A172" t="s">
        <v>2060</v>
      </c>
      <c r="B172" s="3">
        <v>170</v>
      </c>
      <c r="C172" s="3" t="s">
        <v>1094</v>
      </c>
      <c r="D172" s="21" t="s">
        <v>1095</v>
      </c>
      <c r="E172" t="str">
        <f t="shared" si="2"/>
        <v>1AL-Z产品仓照明总电源</v>
      </c>
      <c r="K172" t="s">
        <v>1096</v>
      </c>
      <c r="M172" s="17"/>
      <c r="N172" s="17"/>
      <c r="O172" s="17"/>
      <c r="P172" s="17"/>
      <c r="Q172" s="17"/>
      <c r="T172" s="20"/>
      <c r="U172" s="20"/>
      <c r="V172" s="20"/>
      <c r="W172" s="20"/>
      <c r="X172" s="20"/>
    </row>
    <row r="173" customFormat="1" spans="1:24">
      <c r="A173" t="s">
        <v>2061</v>
      </c>
      <c r="B173" s="3">
        <v>171</v>
      </c>
      <c r="C173" s="3" t="s">
        <v>1027</v>
      </c>
      <c r="D173" s="21" t="s">
        <v>1097</v>
      </c>
      <c r="E173" t="str">
        <f t="shared" si="2"/>
        <v>1AP主厂房照明电源1</v>
      </c>
      <c r="K173" t="s">
        <v>1098</v>
      </c>
      <c r="M173" s="17"/>
      <c r="N173" s="17"/>
      <c r="O173" s="17"/>
      <c r="P173" s="17"/>
      <c r="Q173" s="17"/>
      <c r="T173" s="20"/>
      <c r="U173" s="20"/>
      <c r="V173" s="20"/>
      <c r="W173" s="20"/>
      <c r="X173" s="20"/>
    </row>
    <row r="174" customFormat="1" spans="1:24">
      <c r="A174" t="s">
        <v>2062</v>
      </c>
      <c r="B174" s="3">
        <v>172</v>
      </c>
      <c r="C174" s="3" t="s">
        <v>1099</v>
      </c>
      <c r="D174" s="21" t="s">
        <v>1100</v>
      </c>
      <c r="E174" t="str">
        <f t="shared" si="2"/>
        <v>HRJZ2X低区换热机组电源</v>
      </c>
      <c r="K174" t="s">
        <v>1101</v>
      </c>
      <c r="M174" s="17"/>
      <c r="N174" s="17"/>
      <c r="O174" s="17"/>
      <c r="P174" s="17"/>
      <c r="Q174" s="17"/>
      <c r="T174" s="20"/>
      <c r="U174" s="20"/>
      <c r="V174" s="20"/>
      <c r="W174" s="20"/>
      <c r="X174" s="20"/>
    </row>
    <row r="175" customFormat="1" spans="1:24">
      <c r="A175" t="s">
        <v>2063</v>
      </c>
      <c r="B175" s="3">
        <v>173</v>
      </c>
      <c r="C175" s="3" t="s">
        <v>1022</v>
      </c>
      <c r="D175" s="21" t="s">
        <v>1102</v>
      </c>
      <c r="E175" t="str">
        <f t="shared" si="2"/>
        <v>AA1消防泵房电源1</v>
      </c>
      <c r="K175" t="s">
        <v>1103</v>
      </c>
      <c r="M175" s="17"/>
      <c r="N175" s="17"/>
      <c r="O175" s="17"/>
      <c r="P175" s="17"/>
      <c r="Q175" s="17"/>
      <c r="T175" s="20"/>
      <c r="U175" s="20"/>
      <c r="V175" s="20"/>
      <c r="W175" s="20"/>
      <c r="X175" s="20"/>
    </row>
    <row r="176" customFormat="1" spans="1:24">
      <c r="A176" t="s">
        <v>2064</v>
      </c>
      <c r="B176" s="3">
        <v>174</v>
      </c>
      <c r="C176" s="3" t="s">
        <v>1104</v>
      </c>
      <c r="D176" s="21" t="s">
        <v>1105</v>
      </c>
      <c r="E176" t="str">
        <f t="shared" si="2"/>
        <v>11M2X储煤场上照明电源1</v>
      </c>
      <c r="K176" t="s">
        <v>1106</v>
      </c>
      <c r="M176" s="17"/>
      <c r="N176" s="17"/>
      <c r="O176" s="17"/>
      <c r="P176" s="17"/>
      <c r="Q176" s="17"/>
      <c r="T176" s="20"/>
      <c r="U176" s="20"/>
      <c r="V176" s="20"/>
      <c r="W176" s="20"/>
      <c r="X176" s="20"/>
    </row>
    <row r="177" customFormat="1" spans="1:35">
      <c r="A177" t="s">
        <v>2065</v>
      </c>
      <c r="B177" s="3">
        <v>175</v>
      </c>
      <c r="C177" s="3" t="s">
        <v>1107</v>
      </c>
      <c r="D177" s="21" t="s">
        <v>1108</v>
      </c>
      <c r="E177" t="str">
        <f t="shared" si="2"/>
        <v>11M1X储煤场下照明电源1</v>
      </c>
      <c r="K177" t="s">
        <v>1109</v>
      </c>
      <c r="M177" s="17"/>
      <c r="N177" s="17"/>
      <c r="O177" s="17"/>
      <c r="P177" s="17"/>
      <c r="Q177" s="17"/>
      <c r="T177" s="20"/>
      <c r="U177" s="20"/>
      <c r="V177" s="20"/>
      <c r="W177" s="20"/>
      <c r="X177" s="20"/>
    </row>
    <row r="178" customFormat="1" spans="1:35">
      <c r="A178" t="s">
        <v>2066</v>
      </c>
      <c r="B178" s="3">
        <v>176</v>
      </c>
      <c r="C178" s="3" t="s">
        <v>1110</v>
      </c>
      <c r="D178" s="21" t="s">
        <v>1111</v>
      </c>
      <c r="E178" t="str">
        <f t="shared" si="2"/>
        <v>JXCJX机修车间电源1</v>
      </c>
      <c r="K178" t="s">
        <v>1112</v>
      </c>
      <c r="M178" s="17"/>
      <c r="N178" s="17"/>
      <c r="O178" s="17"/>
      <c r="P178" s="17"/>
      <c r="Q178" s="17"/>
      <c r="T178" s="20"/>
      <c r="U178" s="20"/>
      <c r="V178" s="20"/>
      <c r="W178" s="20"/>
      <c r="X178" s="20"/>
    </row>
    <row r="179" customFormat="1" spans="1:35">
      <c r="A179" t="s">
        <v>2067</v>
      </c>
      <c r="B179" s="3">
        <v>177</v>
      </c>
      <c r="C179" s="3" t="s">
        <v>1113</v>
      </c>
      <c r="D179" s="21" t="s">
        <v>727</v>
      </c>
      <c r="E179" t="str">
        <f t="shared" si="2"/>
        <v>YSC雨水沉淀池排水泵</v>
      </c>
      <c r="K179" t="s">
        <v>1114</v>
      </c>
      <c r="M179" s="17" t="s">
        <v>2068</v>
      </c>
      <c r="N179" s="17" t="s">
        <v>2069</v>
      </c>
      <c r="O179" s="17" t="s">
        <v>2070</v>
      </c>
      <c r="P179" s="17" t="s">
        <v>2071</v>
      </c>
      <c r="Q179" s="17" t="s">
        <v>2072</v>
      </c>
      <c r="T179" s="20"/>
      <c r="U179" s="20"/>
      <c r="V179" s="20"/>
      <c r="W179" s="20"/>
      <c r="X179" s="20"/>
      <c r="Y179" t="s">
        <v>2073</v>
      </c>
      <c r="AA179" t="s">
        <v>2074</v>
      </c>
      <c r="AB179">
        <v>0</v>
      </c>
      <c r="AD179" t="s">
        <v>2075</v>
      </c>
      <c r="AE179" t="s">
        <v>2076</v>
      </c>
      <c r="AF179" t="s">
        <v>2077</v>
      </c>
      <c r="AG179" t="s">
        <v>2078</v>
      </c>
      <c r="AH179" t="s">
        <v>2079</v>
      </c>
      <c r="AI179" t="s">
        <v>2080</v>
      </c>
    </row>
    <row r="180" customFormat="1" spans="1:35">
      <c r="A180" t="s">
        <v>2081</v>
      </c>
      <c r="B180" s="3">
        <v>178</v>
      </c>
      <c r="C180" s="3" t="s">
        <v>744</v>
      </c>
      <c r="D180" s="21" t="s">
        <v>743</v>
      </c>
      <c r="E180" t="str">
        <f t="shared" si="2"/>
        <v>721Z产品仓下闸门液压站</v>
      </c>
      <c r="K180" t="s">
        <v>1115</v>
      </c>
      <c r="M180" s="17" t="s">
        <v>1116</v>
      </c>
      <c r="N180" s="17" t="s">
        <v>1117</v>
      </c>
      <c r="O180" s="17" t="s">
        <v>1118</v>
      </c>
      <c r="P180" s="17" t="s">
        <v>1119</v>
      </c>
      <c r="Q180" s="17" t="s">
        <v>1120</v>
      </c>
      <c r="T180" s="20" t="s">
        <v>2082</v>
      </c>
      <c r="U180" s="20" t="s">
        <v>2083</v>
      </c>
      <c r="V180" s="20" t="s">
        <v>2084</v>
      </c>
      <c r="W180" s="20" t="s">
        <v>2085</v>
      </c>
      <c r="X180" s="20" t="s">
        <v>2086</v>
      </c>
      <c r="Y180" t="s">
        <v>2087</v>
      </c>
      <c r="AA180" t="s">
        <v>2074</v>
      </c>
      <c r="AB180">
        <v>0</v>
      </c>
      <c r="AD180" t="s">
        <v>2075</v>
      </c>
      <c r="AE180" t="s">
        <v>2076</v>
      </c>
      <c r="AF180" t="s">
        <v>2088</v>
      </c>
      <c r="AG180" t="s">
        <v>2078</v>
      </c>
      <c r="AH180" t="s">
        <v>2089</v>
      </c>
      <c r="AI180" t="s">
        <v>2090</v>
      </c>
    </row>
    <row r="181" customFormat="1" spans="1:35">
      <c r="A181" t="s">
        <v>2091</v>
      </c>
      <c r="B181" s="3">
        <v>179</v>
      </c>
      <c r="C181" s="3" t="s">
        <v>752</v>
      </c>
      <c r="D181" s="21" t="s">
        <v>743</v>
      </c>
      <c r="E181" t="str">
        <f t="shared" si="2"/>
        <v>725Z产品仓下闸门液压站</v>
      </c>
      <c r="K181" t="s">
        <v>1121</v>
      </c>
      <c r="M181" s="17"/>
      <c r="N181" s="17"/>
      <c r="O181" s="17"/>
      <c r="P181" s="17"/>
      <c r="Q181" s="17"/>
      <c r="T181" s="20"/>
      <c r="U181" s="20"/>
      <c r="V181" s="20"/>
      <c r="W181" s="20"/>
      <c r="X181" s="20"/>
      <c r="Y181" t="s">
        <v>2092</v>
      </c>
      <c r="AA181" t="s">
        <v>2074</v>
      </c>
      <c r="AB181">
        <v>0</v>
      </c>
      <c r="AD181" t="s">
        <v>2075</v>
      </c>
      <c r="AE181" t="s">
        <v>2076</v>
      </c>
      <c r="AF181" t="s">
        <v>2080</v>
      </c>
      <c r="AG181" t="s">
        <v>2078</v>
      </c>
      <c r="AH181" t="s">
        <v>2093</v>
      </c>
      <c r="AI181" t="s">
        <v>2094</v>
      </c>
    </row>
    <row r="182" customFormat="1" spans="1:35">
      <c r="A182" t="s">
        <v>2095</v>
      </c>
      <c r="B182" s="3">
        <v>180</v>
      </c>
      <c r="C182" s="3" t="s">
        <v>759</v>
      </c>
      <c r="D182" s="21" t="s">
        <v>743</v>
      </c>
      <c r="E182" t="str">
        <f t="shared" si="2"/>
        <v>729Z产品仓下闸门液压站</v>
      </c>
      <c r="K182" t="s">
        <v>1122</v>
      </c>
      <c r="M182" s="17" t="s">
        <v>1123</v>
      </c>
      <c r="N182" s="17" t="s">
        <v>1124</v>
      </c>
      <c r="O182" s="17" t="s">
        <v>1125</v>
      </c>
      <c r="P182" s="17" t="s">
        <v>1126</v>
      </c>
      <c r="Q182" s="17" t="s">
        <v>1127</v>
      </c>
      <c r="T182" s="20" t="s">
        <v>2096</v>
      </c>
      <c r="U182" s="20" t="s">
        <v>2097</v>
      </c>
      <c r="V182" s="20" t="s">
        <v>2098</v>
      </c>
      <c r="W182" s="20" t="s">
        <v>2099</v>
      </c>
      <c r="X182" s="20" t="s">
        <v>2100</v>
      </c>
      <c r="Y182" t="s">
        <v>2101</v>
      </c>
      <c r="AA182" t="s">
        <v>2074</v>
      </c>
      <c r="AB182">
        <v>0</v>
      </c>
      <c r="AD182" t="s">
        <v>2075</v>
      </c>
      <c r="AE182" t="s">
        <v>2076</v>
      </c>
      <c r="AF182" t="s">
        <v>2090</v>
      </c>
      <c r="AG182" t="s">
        <v>2078</v>
      </c>
      <c r="AH182" t="s">
        <v>2102</v>
      </c>
      <c r="AI182" t="s">
        <v>2103</v>
      </c>
    </row>
    <row r="183" customFormat="1" spans="1:35">
      <c r="A183" t="s">
        <v>2104</v>
      </c>
      <c r="B183" s="3">
        <v>181</v>
      </c>
      <c r="C183" s="3" t="s">
        <v>767</v>
      </c>
      <c r="D183" s="21" t="s">
        <v>743</v>
      </c>
      <c r="E183" t="str">
        <f t="shared" si="2"/>
        <v>733Z产品仓下闸门液压站</v>
      </c>
      <c r="K183" t="s">
        <v>1128</v>
      </c>
      <c r="M183" s="17"/>
      <c r="N183" s="17"/>
      <c r="O183" s="17"/>
      <c r="P183" s="17"/>
      <c r="Q183" s="17"/>
      <c r="T183" s="20"/>
      <c r="U183" s="20"/>
      <c r="V183" s="20"/>
      <c r="W183" s="20"/>
      <c r="X183" s="20"/>
      <c r="Y183" t="s">
        <v>2105</v>
      </c>
      <c r="AA183" t="s">
        <v>2074</v>
      </c>
      <c r="AB183">
        <v>0</v>
      </c>
      <c r="AD183" t="s">
        <v>2075</v>
      </c>
      <c r="AE183" t="s">
        <v>2076</v>
      </c>
      <c r="AF183" t="s">
        <v>2094</v>
      </c>
      <c r="AG183" t="s">
        <v>2078</v>
      </c>
      <c r="AH183" t="s">
        <v>2106</v>
      </c>
      <c r="AI183" t="s">
        <v>2107</v>
      </c>
    </row>
    <row r="184" customFormat="1" spans="1:35">
      <c r="A184" t="s">
        <v>2108</v>
      </c>
      <c r="B184" s="3">
        <v>182</v>
      </c>
      <c r="C184" s="3">
        <v>743</v>
      </c>
      <c r="D184" s="21" t="s">
        <v>774</v>
      </c>
      <c r="E184" t="str">
        <f t="shared" si="2"/>
        <v>743产品仓排污泵</v>
      </c>
      <c r="K184" t="s">
        <v>1129</v>
      </c>
      <c r="M184" s="17" t="s">
        <v>1130</v>
      </c>
      <c r="N184" s="17" t="s">
        <v>1131</v>
      </c>
      <c r="O184" s="17" t="s">
        <v>1132</v>
      </c>
      <c r="P184" s="17" t="s">
        <v>1133</v>
      </c>
      <c r="Q184" s="17" t="s">
        <v>1134</v>
      </c>
      <c r="T184" s="20" t="s">
        <v>2109</v>
      </c>
      <c r="U184" s="20" t="s">
        <v>2110</v>
      </c>
      <c r="V184" s="20" t="s">
        <v>2111</v>
      </c>
      <c r="W184" s="20" t="s">
        <v>1564</v>
      </c>
      <c r="X184" s="20" t="s">
        <v>2112</v>
      </c>
      <c r="Y184" t="s">
        <v>2113</v>
      </c>
      <c r="AA184" t="s">
        <v>2074</v>
      </c>
      <c r="AB184">
        <v>0</v>
      </c>
      <c r="AD184" t="s">
        <v>2075</v>
      </c>
      <c r="AE184" t="s">
        <v>2076</v>
      </c>
      <c r="AF184" t="s">
        <v>2103</v>
      </c>
      <c r="AG184" t="s">
        <v>2078</v>
      </c>
      <c r="AH184" t="s">
        <v>2114</v>
      </c>
      <c r="AI184" t="s">
        <v>2115</v>
      </c>
    </row>
    <row r="185" customFormat="1" spans="1:35">
      <c r="A185" t="s">
        <v>2116</v>
      </c>
      <c r="B185" s="3">
        <v>183</v>
      </c>
      <c r="C185" s="3">
        <v>744</v>
      </c>
      <c r="D185" s="21" t="s">
        <v>782</v>
      </c>
      <c r="E185" t="str">
        <f t="shared" si="2"/>
        <v>744产品仓下排污泵</v>
      </c>
      <c r="K185" t="s">
        <v>1135</v>
      </c>
      <c r="M185" s="17" t="s">
        <v>1136</v>
      </c>
      <c r="N185" s="17" t="s">
        <v>1137</v>
      </c>
      <c r="O185" s="17" t="s">
        <v>1138</v>
      </c>
      <c r="P185" s="17" t="s">
        <v>1139</v>
      </c>
      <c r="Q185" s="17" t="s">
        <v>1140</v>
      </c>
      <c r="T185" s="20" t="s">
        <v>2117</v>
      </c>
      <c r="U185" s="20" t="s">
        <v>2118</v>
      </c>
      <c r="V185" s="20" t="s">
        <v>2119</v>
      </c>
      <c r="W185" s="20" t="s">
        <v>1834</v>
      </c>
      <c r="X185" s="20" t="s">
        <v>2120</v>
      </c>
      <c r="Y185" t="s">
        <v>2121</v>
      </c>
      <c r="AA185" t="s">
        <v>2074</v>
      </c>
      <c r="AB185">
        <v>0</v>
      </c>
      <c r="AD185" t="s">
        <v>2075</v>
      </c>
      <c r="AE185" t="s">
        <v>2076</v>
      </c>
      <c r="AF185" t="s">
        <v>2107</v>
      </c>
      <c r="AG185" t="s">
        <v>2078</v>
      </c>
      <c r="AH185" t="s">
        <v>2122</v>
      </c>
      <c r="AI185" t="s">
        <v>2123</v>
      </c>
    </row>
    <row r="186" customFormat="1" spans="1:35">
      <c r="A186" t="s">
        <v>2124</v>
      </c>
      <c r="B186" s="3">
        <v>184</v>
      </c>
      <c r="C186" s="3" t="s">
        <v>790</v>
      </c>
      <c r="D186" s="21" t="s">
        <v>370</v>
      </c>
      <c r="E186" t="str">
        <f t="shared" si="2"/>
        <v>721f带式给煤机风扇电机</v>
      </c>
      <c r="K186" t="s">
        <v>1141</v>
      </c>
      <c r="M186" s="17" t="s">
        <v>1142</v>
      </c>
      <c r="N186" s="17" t="s">
        <v>1143</v>
      </c>
      <c r="O186" s="17" t="s">
        <v>1144</v>
      </c>
      <c r="P186" s="17" t="s">
        <v>1145</v>
      </c>
      <c r="Q186" s="17" t="s">
        <v>1146</v>
      </c>
      <c r="T186" s="20" t="s">
        <v>2125</v>
      </c>
      <c r="U186" s="20" t="s">
        <v>2126</v>
      </c>
      <c r="V186" s="20" t="s">
        <v>2127</v>
      </c>
      <c r="W186" s="20" t="s">
        <v>2128</v>
      </c>
      <c r="X186" s="20" t="s">
        <v>2129</v>
      </c>
      <c r="Y186" t="s">
        <v>2130</v>
      </c>
      <c r="AA186" t="s">
        <v>2074</v>
      </c>
      <c r="AB186">
        <v>0</v>
      </c>
      <c r="AD186" t="s">
        <v>2075</v>
      </c>
      <c r="AE186" t="s">
        <v>2076</v>
      </c>
      <c r="AF186" t="s">
        <v>2115</v>
      </c>
      <c r="AG186" t="s">
        <v>2078</v>
      </c>
      <c r="AH186" t="s">
        <v>2131</v>
      </c>
      <c r="AI186" t="s">
        <v>2132</v>
      </c>
    </row>
    <row r="187" customFormat="1" spans="1:35">
      <c r="A187" t="s">
        <v>2133</v>
      </c>
      <c r="B187" s="3">
        <v>185</v>
      </c>
      <c r="C187" s="3" t="s">
        <v>797</v>
      </c>
      <c r="D187" s="21" t="s">
        <v>370</v>
      </c>
      <c r="E187" t="str">
        <f t="shared" si="2"/>
        <v>722f带式给煤机风扇电机</v>
      </c>
      <c r="K187" t="s">
        <v>1147</v>
      </c>
      <c r="M187" s="17" t="s">
        <v>1148</v>
      </c>
      <c r="N187" s="17" t="s">
        <v>1149</v>
      </c>
      <c r="O187" s="17" t="s">
        <v>1150</v>
      </c>
      <c r="P187" s="17" t="s">
        <v>1151</v>
      </c>
      <c r="Q187" s="17" t="s">
        <v>1152</v>
      </c>
      <c r="T187" s="20" t="s">
        <v>2134</v>
      </c>
      <c r="U187" s="20" t="s">
        <v>2135</v>
      </c>
      <c r="V187" s="20" t="s">
        <v>2136</v>
      </c>
      <c r="W187" s="20" t="s">
        <v>2137</v>
      </c>
      <c r="X187" s="20" t="s">
        <v>2138</v>
      </c>
      <c r="Y187" t="s">
        <v>2139</v>
      </c>
      <c r="AA187" t="s">
        <v>2074</v>
      </c>
      <c r="AB187">
        <v>0</v>
      </c>
      <c r="AD187" t="s">
        <v>2075</v>
      </c>
      <c r="AE187" t="s">
        <v>2076</v>
      </c>
      <c r="AF187" t="s">
        <v>2123</v>
      </c>
      <c r="AG187" t="s">
        <v>2078</v>
      </c>
      <c r="AH187" t="s">
        <v>2140</v>
      </c>
      <c r="AI187" t="s">
        <v>2141</v>
      </c>
    </row>
    <row r="188" customFormat="1" spans="1:35">
      <c r="A188" t="s">
        <v>2142</v>
      </c>
      <c r="B188" s="3">
        <v>186</v>
      </c>
      <c r="C188" s="3" t="s">
        <v>804</v>
      </c>
      <c r="D188" s="21" t="s">
        <v>370</v>
      </c>
      <c r="E188" t="str">
        <f t="shared" si="2"/>
        <v>723f带式给煤机风扇电机</v>
      </c>
      <c r="K188" t="s">
        <v>1153</v>
      </c>
      <c r="M188" s="17" t="s">
        <v>1154</v>
      </c>
      <c r="N188" s="17" t="s">
        <v>1155</v>
      </c>
      <c r="O188" s="17" t="s">
        <v>1156</v>
      </c>
      <c r="P188" s="17" t="s">
        <v>1157</v>
      </c>
      <c r="Q188" s="17" t="s">
        <v>1158</v>
      </c>
      <c r="T188" s="20" t="s">
        <v>2143</v>
      </c>
      <c r="U188" s="20" t="s">
        <v>2144</v>
      </c>
      <c r="V188" s="20" t="s">
        <v>2145</v>
      </c>
      <c r="W188" s="20" t="s">
        <v>2146</v>
      </c>
      <c r="X188" s="20" t="s">
        <v>2147</v>
      </c>
      <c r="Y188" t="s">
        <v>2148</v>
      </c>
      <c r="AA188" t="s">
        <v>2074</v>
      </c>
      <c r="AB188">
        <v>0</v>
      </c>
      <c r="AD188" t="s">
        <v>2075</v>
      </c>
      <c r="AE188" t="s">
        <v>2076</v>
      </c>
      <c r="AF188" t="s">
        <v>2132</v>
      </c>
      <c r="AG188" t="s">
        <v>2078</v>
      </c>
      <c r="AH188" t="s">
        <v>2149</v>
      </c>
      <c r="AI188" t="s">
        <v>2150</v>
      </c>
    </row>
    <row r="189" customFormat="1" spans="1:35">
      <c r="A189" t="s">
        <v>2151</v>
      </c>
      <c r="B189" s="3">
        <v>187</v>
      </c>
      <c r="C189" s="3" t="s">
        <v>811</v>
      </c>
      <c r="D189" s="21" t="s">
        <v>370</v>
      </c>
      <c r="E189" t="str">
        <f t="shared" si="2"/>
        <v>724f带式给煤机风扇电机</v>
      </c>
      <c r="K189" t="s">
        <v>1159</v>
      </c>
      <c r="M189" s="17" t="s">
        <v>1160</v>
      </c>
      <c r="N189" s="17" t="s">
        <v>1161</v>
      </c>
      <c r="O189" s="17" t="s">
        <v>1162</v>
      </c>
      <c r="P189" s="17" t="s">
        <v>1163</v>
      </c>
      <c r="Q189" s="17" t="s">
        <v>1164</v>
      </c>
      <c r="T189" s="20" t="s">
        <v>2152</v>
      </c>
      <c r="U189" s="20" t="s">
        <v>2153</v>
      </c>
      <c r="V189" s="20" t="s">
        <v>2154</v>
      </c>
      <c r="W189" s="20" t="s">
        <v>2155</v>
      </c>
      <c r="X189" s="20" t="s">
        <v>2156</v>
      </c>
      <c r="Y189" t="s">
        <v>2157</v>
      </c>
      <c r="AA189" t="s">
        <v>2074</v>
      </c>
      <c r="AB189">
        <v>0</v>
      </c>
      <c r="AD189" t="s">
        <v>2075</v>
      </c>
      <c r="AE189" t="s">
        <v>2076</v>
      </c>
      <c r="AF189" t="s">
        <v>2141</v>
      </c>
      <c r="AG189" t="s">
        <v>2078</v>
      </c>
      <c r="AH189" t="s">
        <v>2158</v>
      </c>
      <c r="AI189" t="s">
        <v>2159</v>
      </c>
    </row>
    <row r="190" customFormat="1" spans="1:35">
      <c r="A190" t="s">
        <v>2160</v>
      </c>
      <c r="B190" s="3">
        <v>188</v>
      </c>
      <c r="C190" s="3" t="s">
        <v>818</v>
      </c>
      <c r="D190" s="21" t="s">
        <v>370</v>
      </c>
      <c r="E190" t="str">
        <f t="shared" si="2"/>
        <v>725f带式给煤机风扇电机</v>
      </c>
      <c r="K190" t="s">
        <v>1165</v>
      </c>
      <c r="M190" s="17" t="s">
        <v>1166</v>
      </c>
      <c r="N190" s="17" t="s">
        <v>1167</v>
      </c>
      <c r="O190" s="17" t="s">
        <v>1168</v>
      </c>
      <c r="P190" s="17" t="s">
        <v>1169</v>
      </c>
      <c r="Q190" s="17" t="s">
        <v>1170</v>
      </c>
      <c r="T190" s="20" t="s">
        <v>2161</v>
      </c>
      <c r="U190" s="20" t="s">
        <v>2162</v>
      </c>
      <c r="V190" s="20" t="s">
        <v>2163</v>
      </c>
      <c r="W190" s="20" t="s">
        <v>2164</v>
      </c>
      <c r="X190" s="20" t="s">
        <v>2165</v>
      </c>
      <c r="Y190" t="s">
        <v>2166</v>
      </c>
      <c r="AA190" t="s">
        <v>2074</v>
      </c>
      <c r="AB190">
        <v>0</v>
      </c>
      <c r="AD190" t="s">
        <v>2075</v>
      </c>
      <c r="AE190" t="s">
        <v>2076</v>
      </c>
      <c r="AF190" t="s">
        <v>2150</v>
      </c>
      <c r="AG190" t="s">
        <v>2078</v>
      </c>
      <c r="AH190" t="s">
        <v>2167</v>
      </c>
      <c r="AI190" t="s">
        <v>2168</v>
      </c>
    </row>
    <row r="191" customFormat="1" spans="1:35">
      <c r="A191" t="s">
        <v>2169</v>
      </c>
      <c r="B191" s="3">
        <v>189</v>
      </c>
      <c r="C191" s="3" t="s">
        <v>826</v>
      </c>
      <c r="D191" s="21" t="s">
        <v>370</v>
      </c>
      <c r="E191" t="str">
        <f t="shared" si="2"/>
        <v>726f带式给煤机风扇电机</v>
      </c>
      <c r="K191" t="s">
        <v>1171</v>
      </c>
      <c r="M191" s="17" t="s">
        <v>1172</v>
      </c>
      <c r="N191" s="17" t="s">
        <v>1173</v>
      </c>
      <c r="O191" s="17" t="s">
        <v>1174</v>
      </c>
      <c r="P191" s="17" t="s">
        <v>1175</v>
      </c>
      <c r="Q191" s="17" t="s">
        <v>1176</v>
      </c>
      <c r="T191" s="20" t="s">
        <v>2170</v>
      </c>
      <c r="U191" s="20" t="s">
        <v>2171</v>
      </c>
      <c r="V191" s="20" t="s">
        <v>2172</v>
      </c>
      <c r="W191" s="20" t="s">
        <v>2173</v>
      </c>
      <c r="X191" s="20" t="s">
        <v>2174</v>
      </c>
      <c r="Y191" t="s">
        <v>2175</v>
      </c>
      <c r="AA191" t="s">
        <v>2074</v>
      </c>
      <c r="AB191">
        <v>0</v>
      </c>
      <c r="AD191" t="s">
        <v>2075</v>
      </c>
      <c r="AE191" t="s">
        <v>2076</v>
      </c>
      <c r="AF191" t="s">
        <v>2159</v>
      </c>
      <c r="AG191" t="s">
        <v>2078</v>
      </c>
      <c r="AH191" t="s">
        <v>2176</v>
      </c>
      <c r="AI191" t="s">
        <v>2177</v>
      </c>
    </row>
    <row r="192" customFormat="1" spans="1:35">
      <c r="A192" t="s">
        <v>2178</v>
      </c>
      <c r="B192" s="3">
        <v>190</v>
      </c>
      <c r="C192" s="3" t="s">
        <v>833</v>
      </c>
      <c r="D192" s="21" t="s">
        <v>370</v>
      </c>
      <c r="E192" t="str">
        <f t="shared" si="2"/>
        <v>727f带式给煤机风扇电机</v>
      </c>
      <c r="K192" t="s">
        <v>1177</v>
      </c>
      <c r="M192" s="17" t="s">
        <v>1178</v>
      </c>
      <c r="N192" s="17" t="s">
        <v>1179</v>
      </c>
      <c r="O192" s="17" t="s">
        <v>1180</v>
      </c>
      <c r="P192" s="17" t="s">
        <v>1181</v>
      </c>
      <c r="Q192" s="17" t="s">
        <v>1182</v>
      </c>
      <c r="T192" s="20" t="s">
        <v>2179</v>
      </c>
      <c r="U192" s="20" t="s">
        <v>2180</v>
      </c>
      <c r="V192" s="20" t="s">
        <v>2181</v>
      </c>
      <c r="W192" s="20" t="s">
        <v>2182</v>
      </c>
      <c r="X192" s="20" t="s">
        <v>2183</v>
      </c>
      <c r="Y192" t="s">
        <v>2184</v>
      </c>
      <c r="AA192" t="s">
        <v>2074</v>
      </c>
      <c r="AB192">
        <v>0</v>
      </c>
      <c r="AD192" t="s">
        <v>2075</v>
      </c>
      <c r="AE192" t="s">
        <v>2076</v>
      </c>
      <c r="AF192" t="s">
        <v>2168</v>
      </c>
      <c r="AG192" t="s">
        <v>2078</v>
      </c>
      <c r="AH192" t="s">
        <v>2185</v>
      </c>
      <c r="AI192" t="s">
        <v>2186</v>
      </c>
    </row>
    <row r="193" customFormat="1" spans="1:35">
      <c r="A193" t="s">
        <v>2187</v>
      </c>
      <c r="B193" s="3">
        <v>191</v>
      </c>
      <c r="C193" s="3" t="s">
        <v>840</v>
      </c>
      <c r="D193" s="21" t="s">
        <v>370</v>
      </c>
      <c r="E193" t="str">
        <f t="shared" si="2"/>
        <v>728f带式给煤机风扇电机</v>
      </c>
      <c r="K193" t="s">
        <v>1183</v>
      </c>
      <c r="M193" s="17" t="s">
        <v>1184</v>
      </c>
      <c r="N193" s="17" t="s">
        <v>1185</v>
      </c>
      <c r="O193" s="17" t="s">
        <v>1186</v>
      </c>
      <c r="P193" s="17" t="s">
        <v>1187</v>
      </c>
      <c r="Q193" s="17" t="s">
        <v>1188</v>
      </c>
      <c r="T193" s="20" t="s">
        <v>2188</v>
      </c>
      <c r="U193" s="20" t="s">
        <v>2189</v>
      </c>
      <c r="V193" s="20" t="s">
        <v>2190</v>
      </c>
      <c r="W193" s="20" t="s">
        <v>2191</v>
      </c>
      <c r="X193" s="20" t="s">
        <v>1835</v>
      </c>
      <c r="Y193" t="s">
        <v>2192</v>
      </c>
      <c r="AA193" t="s">
        <v>2074</v>
      </c>
      <c r="AB193">
        <v>0</v>
      </c>
      <c r="AD193" t="s">
        <v>2075</v>
      </c>
      <c r="AE193" t="s">
        <v>2076</v>
      </c>
      <c r="AF193" t="s">
        <v>2177</v>
      </c>
      <c r="AG193" t="s">
        <v>2078</v>
      </c>
      <c r="AH193" t="s">
        <v>2193</v>
      </c>
      <c r="AI193" t="s">
        <v>2194</v>
      </c>
    </row>
    <row r="194" customFormat="1" spans="1:35">
      <c r="A194" t="s">
        <v>2195</v>
      </c>
      <c r="B194" s="3">
        <v>192</v>
      </c>
      <c r="C194" s="3" t="s">
        <v>847</v>
      </c>
      <c r="D194" s="21" t="s">
        <v>370</v>
      </c>
      <c r="E194" t="str">
        <f t="shared" si="2"/>
        <v>729f带式给煤机风扇电机</v>
      </c>
      <c r="K194" t="s">
        <v>1189</v>
      </c>
      <c r="M194" s="17" t="s">
        <v>1190</v>
      </c>
      <c r="N194" s="17" t="s">
        <v>1191</v>
      </c>
      <c r="O194" s="17" t="s">
        <v>1192</v>
      </c>
      <c r="P194" s="17" t="s">
        <v>1193</v>
      </c>
      <c r="Q194" s="17" t="s">
        <v>1194</v>
      </c>
      <c r="T194" s="20" t="s">
        <v>2196</v>
      </c>
      <c r="U194" s="20" t="s">
        <v>2197</v>
      </c>
      <c r="V194" s="20" t="s">
        <v>2198</v>
      </c>
      <c r="W194" s="20" t="s">
        <v>2199</v>
      </c>
      <c r="X194" s="20" t="s">
        <v>2200</v>
      </c>
      <c r="Y194" t="s">
        <v>2201</v>
      </c>
      <c r="AA194" t="s">
        <v>2074</v>
      </c>
      <c r="AB194">
        <v>0</v>
      </c>
      <c r="AD194" t="s">
        <v>2075</v>
      </c>
      <c r="AE194" t="s">
        <v>2076</v>
      </c>
      <c r="AF194" t="s">
        <v>2186</v>
      </c>
      <c r="AG194" t="s">
        <v>2078</v>
      </c>
      <c r="AH194" t="s">
        <v>2202</v>
      </c>
      <c r="AI194" t="s">
        <v>2203</v>
      </c>
    </row>
    <row r="195" customFormat="1" spans="1:35">
      <c r="A195" t="s">
        <v>2204</v>
      </c>
      <c r="B195" s="3">
        <v>193</v>
      </c>
      <c r="C195" s="3" t="s">
        <v>852</v>
      </c>
      <c r="D195" s="21" t="s">
        <v>370</v>
      </c>
      <c r="E195" t="str">
        <f t="shared" si="2"/>
        <v>730f带式给煤机风扇电机</v>
      </c>
      <c r="K195" t="s">
        <v>1195</v>
      </c>
      <c r="M195" s="17" t="s">
        <v>1196</v>
      </c>
      <c r="N195" s="17" t="s">
        <v>1197</v>
      </c>
      <c r="O195" s="17" t="s">
        <v>1198</v>
      </c>
      <c r="P195" s="17" t="s">
        <v>1199</v>
      </c>
      <c r="Q195" s="17" t="s">
        <v>1200</v>
      </c>
      <c r="T195" s="20" t="s">
        <v>2205</v>
      </c>
      <c r="U195" s="20" t="s">
        <v>2206</v>
      </c>
      <c r="V195" s="20" t="s">
        <v>2207</v>
      </c>
      <c r="W195" s="20" t="s">
        <v>2208</v>
      </c>
      <c r="X195" s="20" t="s">
        <v>2209</v>
      </c>
      <c r="Y195" t="s">
        <v>2210</v>
      </c>
      <c r="AA195" t="s">
        <v>2074</v>
      </c>
      <c r="AB195">
        <v>0</v>
      </c>
      <c r="AD195" t="s">
        <v>2075</v>
      </c>
      <c r="AE195" t="s">
        <v>2076</v>
      </c>
      <c r="AF195" t="s">
        <v>2194</v>
      </c>
      <c r="AG195" t="s">
        <v>2078</v>
      </c>
      <c r="AH195" t="s">
        <v>2211</v>
      </c>
      <c r="AI195" t="s">
        <v>2212</v>
      </c>
    </row>
    <row r="196" customFormat="1" spans="1:35">
      <c r="A196" t="s">
        <v>2213</v>
      </c>
      <c r="B196" s="3">
        <v>194</v>
      </c>
      <c r="C196" s="3" t="s">
        <v>861</v>
      </c>
      <c r="D196" s="21" t="s">
        <v>370</v>
      </c>
      <c r="E196" t="str">
        <f t="shared" si="2"/>
        <v>731f带式给煤机风扇电机</v>
      </c>
      <c r="K196" t="s">
        <v>1201</v>
      </c>
      <c r="M196" s="17" t="s">
        <v>1202</v>
      </c>
      <c r="N196" s="17" t="s">
        <v>1203</v>
      </c>
      <c r="O196" s="17" t="s">
        <v>1204</v>
      </c>
      <c r="P196" s="17" t="s">
        <v>1205</v>
      </c>
      <c r="Q196" s="17" t="s">
        <v>1206</v>
      </c>
      <c r="T196" s="20" t="s">
        <v>2214</v>
      </c>
      <c r="U196" s="20" t="s">
        <v>2215</v>
      </c>
      <c r="V196" s="20" t="s">
        <v>2216</v>
      </c>
      <c r="W196" s="20" t="s">
        <v>2217</v>
      </c>
      <c r="X196" s="20" t="s">
        <v>2218</v>
      </c>
      <c r="Y196" t="s">
        <v>2219</v>
      </c>
      <c r="AA196" t="s">
        <v>2074</v>
      </c>
      <c r="AB196">
        <v>0</v>
      </c>
      <c r="AD196" t="s">
        <v>2075</v>
      </c>
      <c r="AE196" t="s">
        <v>2076</v>
      </c>
      <c r="AF196" t="s">
        <v>2203</v>
      </c>
      <c r="AG196" t="s">
        <v>2078</v>
      </c>
      <c r="AH196" t="s">
        <v>2220</v>
      </c>
      <c r="AI196" t="s">
        <v>2221</v>
      </c>
    </row>
    <row r="197" customFormat="1" spans="1:35">
      <c r="A197" t="s">
        <v>2222</v>
      </c>
      <c r="B197" s="3">
        <v>195</v>
      </c>
      <c r="C197" s="3" t="s">
        <v>867</v>
      </c>
      <c r="D197" s="21" t="s">
        <v>370</v>
      </c>
      <c r="E197" t="str">
        <f t="shared" si="2"/>
        <v>732f带式给煤机风扇电机</v>
      </c>
      <c r="K197" t="s">
        <v>1207</v>
      </c>
      <c r="M197" s="17" t="s">
        <v>1208</v>
      </c>
      <c r="N197" s="17" t="s">
        <v>1209</v>
      </c>
      <c r="O197" s="17" t="s">
        <v>1210</v>
      </c>
      <c r="P197" s="17" t="s">
        <v>1211</v>
      </c>
      <c r="Q197" s="17" t="s">
        <v>1212</v>
      </c>
      <c r="T197" s="20" t="s">
        <v>2223</v>
      </c>
      <c r="U197" s="20" t="s">
        <v>2224</v>
      </c>
      <c r="V197" s="20" t="s">
        <v>2225</v>
      </c>
      <c r="W197" s="20" t="s">
        <v>2226</v>
      </c>
      <c r="X197" s="20" t="s">
        <v>2227</v>
      </c>
      <c r="Y197" t="s">
        <v>2228</v>
      </c>
      <c r="AA197" t="s">
        <v>2074</v>
      </c>
      <c r="AB197">
        <v>0</v>
      </c>
      <c r="AD197" t="s">
        <v>2075</v>
      </c>
      <c r="AE197" t="s">
        <v>2076</v>
      </c>
      <c r="AF197" t="s">
        <v>2212</v>
      </c>
      <c r="AG197" t="s">
        <v>2078</v>
      </c>
      <c r="AH197" t="s">
        <v>2229</v>
      </c>
      <c r="AI197" t="s">
        <v>2230</v>
      </c>
    </row>
    <row r="198" customFormat="1" spans="1:35">
      <c r="A198" t="s">
        <v>2231</v>
      </c>
      <c r="B198" s="3">
        <v>196</v>
      </c>
      <c r="C198" s="3" t="s">
        <v>1213</v>
      </c>
      <c r="D198" s="21" t="s">
        <v>370</v>
      </c>
      <c r="E198" t="str">
        <f t="shared" si="2"/>
        <v>733f带式给煤机风扇电机</v>
      </c>
      <c r="K198" t="s">
        <v>1214</v>
      </c>
      <c r="M198" s="17" t="s">
        <v>1215</v>
      </c>
      <c r="N198" s="17" t="s">
        <v>1216</v>
      </c>
      <c r="O198" s="17" t="s">
        <v>1217</v>
      </c>
      <c r="P198" s="17" t="s">
        <v>1218</v>
      </c>
      <c r="Q198" s="17" t="s">
        <v>1219</v>
      </c>
      <c r="T198" s="20" t="s">
        <v>2232</v>
      </c>
      <c r="U198" s="20" t="s">
        <v>2233</v>
      </c>
      <c r="V198" s="20" t="s">
        <v>2234</v>
      </c>
      <c r="W198" s="20" t="s">
        <v>2235</v>
      </c>
      <c r="X198" s="20" t="s">
        <v>2236</v>
      </c>
      <c r="Y198" t="s">
        <v>2237</v>
      </c>
      <c r="AA198" t="s">
        <v>2074</v>
      </c>
      <c r="AB198">
        <v>0</v>
      </c>
      <c r="AD198" t="s">
        <v>2075</v>
      </c>
      <c r="AE198" t="s">
        <v>2076</v>
      </c>
      <c r="AF198" t="s">
        <v>2221</v>
      </c>
      <c r="AG198" t="s">
        <v>2078</v>
      </c>
      <c r="AH198" t="s">
        <v>2238</v>
      </c>
      <c r="AI198" t="s">
        <v>2239</v>
      </c>
    </row>
    <row r="199" customFormat="1" spans="1:35">
      <c r="A199" t="s">
        <v>2240</v>
      </c>
      <c r="B199" s="3">
        <v>197</v>
      </c>
      <c r="C199" s="3" t="s">
        <v>874</v>
      </c>
      <c r="D199" s="21" t="s">
        <v>370</v>
      </c>
      <c r="E199" t="str">
        <f t="shared" si="2"/>
        <v>734f带式给煤机风扇电机</v>
      </c>
      <c r="K199" t="s">
        <v>1220</v>
      </c>
      <c r="M199" s="17" t="s">
        <v>1221</v>
      </c>
      <c r="N199" s="17" t="s">
        <v>1222</v>
      </c>
      <c r="O199" s="17" t="s">
        <v>1223</v>
      </c>
      <c r="P199" s="17" t="s">
        <v>1224</v>
      </c>
      <c r="Q199" s="17" t="s">
        <v>1225</v>
      </c>
      <c r="T199" s="20" t="s">
        <v>2241</v>
      </c>
      <c r="U199" s="20" t="s">
        <v>2242</v>
      </c>
      <c r="V199" s="20" t="s">
        <v>2243</v>
      </c>
      <c r="W199" s="20" t="s">
        <v>2244</v>
      </c>
      <c r="X199" s="20" t="s">
        <v>2245</v>
      </c>
      <c r="Y199" t="s">
        <v>2246</v>
      </c>
      <c r="AA199" t="s">
        <v>2074</v>
      </c>
      <c r="AB199">
        <v>0</v>
      </c>
      <c r="AD199" t="s">
        <v>2075</v>
      </c>
      <c r="AE199" t="s">
        <v>2076</v>
      </c>
      <c r="AF199" t="s">
        <v>2230</v>
      </c>
      <c r="AG199" t="s">
        <v>2078</v>
      </c>
      <c r="AH199" t="s">
        <v>2247</v>
      </c>
      <c r="AI199" t="s">
        <v>2248</v>
      </c>
    </row>
    <row r="200" customFormat="1" spans="1:35">
      <c r="A200" t="s">
        <v>2249</v>
      </c>
      <c r="B200" s="3">
        <v>198</v>
      </c>
      <c r="C200" s="3" t="s">
        <v>882</v>
      </c>
      <c r="D200" s="21" t="s">
        <v>370</v>
      </c>
      <c r="E200" t="str">
        <f t="shared" si="2"/>
        <v>735f带式给煤机风扇电机</v>
      </c>
      <c r="K200" t="s">
        <v>1226</v>
      </c>
      <c r="M200" s="17" t="s">
        <v>1227</v>
      </c>
      <c r="N200" s="17" t="s">
        <v>1228</v>
      </c>
      <c r="O200" s="17" t="s">
        <v>1229</v>
      </c>
      <c r="P200" s="17" t="s">
        <v>1230</v>
      </c>
      <c r="Q200" s="17" t="s">
        <v>1231</v>
      </c>
      <c r="T200" s="20" t="s">
        <v>2250</v>
      </c>
      <c r="U200" s="20" t="s">
        <v>2251</v>
      </c>
      <c r="V200" s="20" t="s">
        <v>2252</v>
      </c>
      <c r="W200" s="20" t="s">
        <v>2253</v>
      </c>
      <c r="X200" s="20" t="s">
        <v>1829</v>
      </c>
      <c r="Y200" t="s">
        <v>2254</v>
      </c>
      <c r="AA200" t="s">
        <v>2074</v>
      </c>
      <c r="AB200">
        <v>0</v>
      </c>
      <c r="AD200" t="s">
        <v>2075</v>
      </c>
      <c r="AE200" t="s">
        <v>2076</v>
      </c>
      <c r="AF200" t="s">
        <v>2239</v>
      </c>
      <c r="AG200" t="s">
        <v>2078</v>
      </c>
      <c r="AH200" t="s">
        <v>2255</v>
      </c>
      <c r="AI200" t="s">
        <v>2256</v>
      </c>
    </row>
    <row r="201" customFormat="1" spans="1:35">
      <c r="A201" t="s">
        <v>2257</v>
      </c>
      <c r="B201" s="3">
        <v>199</v>
      </c>
      <c r="C201" s="3" t="s">
        <v>890</v>
      </c>
      <c r="D201" s="21" t="s">
        <v>370</v>
      </c>
      <c r="E201" t="str">
        <f t="shared" si="2"/>
        <v>736f带式给煤机风扇电机</v>
      </c>
      <c r="K201" t="s">
        <v>1232</v>
      </c>
      <c r="M201" s="17" t="s">
        <v>1233</v>
      </c>
      <c r="N201" s="17" t="s">
        <v>1233</v>
      </c>
      <c r="O201" s="17" t="s">
        <v>1234</v>
      </c>
      <c r="P201" s="17" t="s">
        <v>1235</v>
      </c>
      <c r="Q201" s="17" t="s">
        <v>1236</v>
      </c>
      <c r="T201" s="20" t="s">
        <v>2258</v>
      </c>
      <c r="U201" s="20" t="s">
        <v>2258</v>
      </c>
      <c r="V201" s="20" t="s">
        <v>2259</v>
      </c>
      <c r="W201" s="20" t="s">
        <v>1852</v>
      </c>
      <c r="X201" s="20" t="s">
        <v>2260</v>
      </c>
      <c r="Y201" t="s">
        <v>2261</v>
      </c>
      <c r="AA201" t="s">
        <v>2074</v>
      </c>
      <c r="AB201">
        <v>0</v>
      </c>
      <c r="AD201" t="s">
        <v>2075</v>
      </c>
      <c r="AE201" t="s">
        <v>2076</v>
      </c>
      <c r="AF201" t="s">
        <v>2248</v>
      </c>
      <c r="AG201" t="s">
        <v>2078</v>
      </c>
      <c r="AH201" t="s">
        <v>2262</v>
      </c>
      <c r="AI201" t="s">
        <v>2263</v>
      </c>
    </row>
    <row r="202" customFormat="1" spans="1:35">
      <c r="A202" t="s">
        <v>2264</v>
      </c>
      <c r="B202" s="3">
        <v>200</v>
      </c>
      <c r="C202" s="3" t="s">
        <v>896</v>
      </c>
      <c r="D202" s="21" t="s">
        <v>370</v>
      </c>
      <c r="E202" t="str">
        <f t="shared" si="2"/>
        <v>737f带式给煤机风扇电机</v>
      </c>
      <c r="K202" t="s">
        <v>1237</v>
      </c>
      <c r="M202" s="17"/>
      <c r="N202" s="17"/>
      <c r="O202" s="17"/>
      <c r="P202" s="17"/>
      <c r="Q202" s="17"/>
      <c r="T202" s="20"/>
      <c r="U202" s="20"/>
      <c r="V202" s="20"/>
      <c r="W202" s="20"/>
      <c r="X202" s="20"/>
      <c r="Y202" t="s">
        <v>2265</v>
      </c>
      <c r="AA202" t="s">
        <v>2074</v>
      </c>
      <c r="AB202">
        <v>0</v>
      </c>
      <c r="AD202" t="s">
        <v>2075</v>
      </c>
      <c r="AE202" t="s">
        <v>2076</v>
      </c>
      <c r="AF202" t="s">
        <v>2256</v>
      </c>
      <c r="AG202" t="s">
        <v>2078</v>
      </c>
      <c r="AH202" t="s">
        <v>2266</v>
      </c>
      <c r="AI202" t="s">
        <v>2267</v>
      </c>
    </row>
    <row r="203" customFormat="1" spans="1:35">
      <c r="A203" t="s">
        <v>2268</v>
      </c>
      <c r="B203" s="3">
        <v>201</v>
      </c>
      <c r="C203" s="3">
        <v>721</v>
      </c>
      <c r="D203" s="21" t="s">
        <v>903</v>
      </c>
      <c r="E203" t="str">
        <f t="shared" si="2"/>
        <v>721产品仓下带式给煤机</v>
      </c>
      <c r="K203" t="s">
        <v>1238</v>
      </c>
      <c r="M203" s="17" t="s">
        <v>1239</v>
      </c>
      <c r="N203" s="17" t="s">
        <v>1240</v>
      </c>
      <c r="O203" s="17" t="s">
        <v>1241</v>
      </c>
      <c r="P203" s="17" t="s">
        <v>1242</v>
      </c>
      <c r="Q203" s="17" t="s">
        <v>1243</v>
      </c>
      <c r="T203" s="20" t="s">
        <v>2269</v>
      </c>
      <c r="U203" s="20" t="s">
        <v>2270</v>
      </c>
      <c r="V203" s="20" t="s">
        <v>2271</v>
      </c>
      <c r="W203" s="20" t="s">
        <v>1807</v>
      </c>
      <c r="X203" s="20" t="s">
        <v>2272</v>
      </c>
      <c r="Y203" t="s">
        <v>2273</v>
      </c>
      <c r="AA203" t="s">
        <v>2074</v>
      </c>
      <c r="AB203">
        <v>0</v>
      </c>
      <c r="AD203" t="s">
        <v>2075</v>
      </c>
      <c r="AE203" t="s">
        <v>2076</v>
      </c>
      <c r="AF203" t="s">
        <v>2263</v>
      </c>
      <c r="AG203" t="s">
        <v>2078</v>
      </c>
      <c r="AH203" t="s">
        <v>2274</v>
      </c>
      <c r="AI203" t="s">
        <v>2275</v>
      </c>
    </row>
    <row r="204" customFormat="1" spans="1:35">
      <c r="A204" t="s">
        <v>2276</v>
      </c>
      <c r="B204" s="3">
        <v>202</v>
      </c>
      <c r="C204" s="3">
        <v>722</v>
      </c>
      <c r="D204" s="21" t="s">
        <v>903</v>
      </c>
      <c r="E204" t="str">
        <f t="shared" si="2"/>
        <v>722产品仓下带式给煤机</v>
      </c>
      <c r="K204" t="s">
        <v>1244</v>
      </c>
      <c r="M204" s="17" t="s">
        <v>1245</v>
      </c>
      <c r="N204" s="17" t="s">
        <v>1246</v>
      </c>
      <c r="O204" s="17" t="s">
        <v>1247</v>
      </c>
      <c r="P204" s="17" t="s">
        <v>1248</v>
      </c>
      <c r="Q204" s="17" t="s">
        <v>1249</v>
      </c>
      <c r="T204" s="20" t="s">
        <v>2277</v>
      </c>
      <c r="U204" s="20" t="s">
        <v>2278</v>
      </c>
      <c r="V204" s="20" t="s">
        <v>2279</v>
      </c>
      <c r="W204" s="20" t="s">
        <v>1804</v>
      </c>
      <c r="X204" s="20" t="s">
        <v>2280</v>
      </c>
      <c r="Y204" t="s">
        <v>2281</v>
      </c>
      <c r="AA204" t="s">
        <v>2074</v>
      </c>
      <c r="AB204">
        <v>0</v>
      </c>
      <c r="AD204" t="s">
        <v>2075</v>
      </c>
      <c r="AE204" t="s">
        <v>2076</v>
      </c>
      <c r="AF204" t="s">
        <v>2267</v>
      </c>
      <c r="AG204" t="s">
        <v>2078</v>
      </c>
      <c r="AH204" t="s">
        <v>2282</v>
      </c>
      <c r="AI204" t="s">
        <v>2283</v>
      </c>
    </row>
    <row r="205" customFormat="1" spans="1:35">
      <c r="A205" t="s">
        <v>2284</v>
      </c>
      <c r="B205" s="3">
        <v>203</v>
      </c>
      <c r="C205" s="3">
        <v>723</v>
      </c>
      <c r="D205" s="21" t="s">
        <v>903</v>
      </c>
      <c r="E205" t="str">
        <f t="shared" si="2"/>
        <v>723产品仓下带式给煤机</v>
      </c>
      <c r="K205" t="s">
        <v>1250</v>
      </c>
      <c r="M205" s="17" t="s">
        <v>1251</v>
      </c>
      <c r="N205" s="17" t="s">
        <v>1252</v>
      </c>
      <c r="O205" s="17" t="s">
        <v>1253</v>
      </c>
      <c r="P205" s="17" t="s">
        <v>1254</v>
      </c>
      <c r="Q205" s="17" t="s">
        <v>1255</v>
      </c>
      <c r="T205" s="20" t="s">
        <v>2285</v>
      </c>
      <c r="U205" s="20" t="s">
        <v>2286</v>
      </c>
      <c r="V205" s="20" t="s">
        <v>2287</v>
      </c>
      <c r="W205" s="20" t="s">
        <v>1805</v>
      </c>
      <c r="X205" s="20" t="s">
        <v>1803</v>
      </c>
      <c r="Y205" t="s">
        <v>2288</v>
      </c>
      <c r="AA205" t="s">
        <v>2074</v>
      </c>
      <c r="AB205">
        <v>0</v>
      </c>
      <c r="AD205" t="s">
        <v>2075</v>
      </c>
      <c r="AE205" t="s">
        <v>2076</v>
      </c>
      <c r="AF205" t="s">
        <v>2275</v>
      </c>
      <c r="AG205" t="s">
        <v>2078</v>
      </c>
      <c r="AH205" t="s">
        <v>2289</v>
      </c>
      <c r="AI205" t="s">
        <v>2290</v>
      </c>
    </row>
    <row r="206" customFormat="1" spans="1:35">
      <c r="A206" t="s">
        <v>2291</v>
      </c>
      <c r="B206" s="3">
        <v>204</v>
      </c>
      <c r="C206" s="3">
        <v>724</v>
      </c>
      <c r="D206" s="21" t="s">
        <v>903</v>
      </c>
      <c r="E206" t="str">
        <f t="shared" si="2"/>
        <v>724产品仓下带式给煤机</v>
      </c>
      <c r="K206" t="s">
        <v>1256</v>
      </c>
      <c r="M206" s="17" t="s">
        <v>1257</v>
      </c>
      <c r="N206" s="17" t="s">
        <v>1258</v>
      </c>
      <c r="O206" s="17" t="s">
        <v>1259</v>
      </c>
      <c r="P206" s="17" t="s">
        <v>1260</v>
      </c>
      <c r="Q206" s="17" t="s">
        <v>1261</v>
      </c>
      <c r="T206" s="20" t="s">
        <v>2292</v>
      </c>
      <c r="U206" s="20" t="s">
        <v>2293</v>
      </c>
      <c r="V206" s="20" t="s">
        <v>2294</v>
      </c>
      <c r="W206" s="20" t="s">
        <v>2295</v>
      </c>
      <c r="X206" s="20" t="s">
        <v>2296</v>
      </c>
      <c r="Y206" t="s">
        <v>2297</v>
      </c>
      <c r="AA206" t="s">
        <v>2074</v>
      </c>
      <c r="AB206">
        <v>0</v>
      </c>
      <c r="AD206" t="s">
        <v>2075</v>
      </c>
      <c r="AE206" t="s">
        <v>2076</v>
      </c>
      <c r="AF206" t="s">
        <v>2283</v>
      </c>
      <c r="AG206" t="s">
        <v>2078</v>
      </c>
      <c r="AH206" t="s">
        <v>2298</v>
      </c>
      <c r="AI206" t="s">
        <v>2299</v>
      </c>
    </row>
    <row r="207" customFormat="1" spans="1:35">
      <c r="A207" t="s">
        <v>2300</v>
      </c>
      <c r="B207" s="3">
        <v>205</v>
      </c>
      <c r="C207" s="3">
        <v>725</v>
      </c>
      <c r="D207" s="21" t="s">
        <v>903</v>
      </c>
      <c r="E207" t="str">
        <f t="shared" si="2"/>
        <v>725产品仓下带式给煤机</v>
      </c>
      <c r="K207" t="s">
        <v>1262</v>
      </c>
      <c r="M207" s="17" t="s">
        <v>1263</v>
      </c>
      <c r="N207" s="17" t="s">
        <v>1264</v>
      </c>
      <c r="O207" s="17" t="s">
        <v>1265</v>
      </c>
      <c r="P207" s="17" t="s">
        <v>1266</v>
      </c>
      <c r="Q207" s="17" t="s">
        <v>1267</v>
      </c>
      <c r="T207" s="20" t="s">
        <v>2301</v>
      </c>
      <c r="U207" s="20" t="s">
        <v>2302</v>
      </c>
      <c r="V207" s="20" t="s">
        <v>2303</v>
      </c>
      <c r="W207" s="20" t="s">
        <v>2304</v>
      </c>
      <c r="X207" s="20" t="s">
        <v>1500</v>
      </c>
      <c r="Y207" t="s">
        <v>2305</v>
      </c>
      <c r="AA207" t="s">
        <v>2074</v>
      </c>
      <c r="AB207">
        <v>0</v>
      </c>
      <c r="AD207" t="s">
        <v>2075</v>
      </c>
      <c r="AE207" t="s">
        <v>2076</v>
      </c>
      <c r="AF207" t="s">
        <v>2290</v>
      </c>
      <c r="AG207" t="s">
        <v>2078</v>
      </c>
      <c r="AH207" t="s">
        <v>2306</v>
      </c>
      <c r="AI207" t="s">
        <v>2307</v>
      </c>
    </row>
    <row r="208" customFormat="1" spans="1:35">
      <c r="A208" t="s">
        <v>2308</v>
      </c>
      <c r="B208" s="3">
        <v>206</v>
      </c>
      <c r="C208" s="3">
        <v>726</v>
      </c>
      <c r="D208" s="21" t="s">
        <v>903</v>
      </c>
      <c r="E208" t="str">
        <f t="shared" si="2"/>
        <v>726产品仓下带式给煤机</v>
      </c>
      <c r="K208" t="s">
        <v>1268</v>
      </c>
      <c r="M208" s="17" t="s">
        <v>1269</v>
      </c>
      <c r="N208" s="17" t="s">
        <v>2309</v>
      </c>
      <c r="O208" s="17" t="s">
        <v>1270</v>
      </c>
      <c r="P208" s="17" t="s">
        <v>1271</v>
      </c>
      <c r="Q208" s="17" t="s">
        <v>1272</v>
      </c>
      <c r="T208" s="20" t="s">
        <v>2310</v>
      </c>
      <c r="U208" s="20" t="s">
        <v>2310</v>
      </c>
      <c r="V208" s="20" t="s">
        <v>2311</v>
      </c>
      <c r="W208" s="20" t="s">
        <v>2312</v>
      </c>
      <c r="X208" s="20" t="s">
        <v>2313</v>
      </c>
      <c r="Y208" t="s">
        <v>2314</v>
      </c>
      <c r="AA208" t="s">
        <v>2074</v>
      </c>
      <c r="AB208">
        <v>0</v>
      </c>
      <c r="AD208" t="s">
        <v>2075</v>
      </c>
      <c r="AE208" t="s">
        <v>2076</v>
      </c>
      <c r="AF208" t="s">
        <v>2299</v>
      </c>
      <c r="AG208" t="s">
        <v>2078</v>
      </c>
      <c r="AH208" t="s">
        <v>2315</v>
      </c>
      <c r="AI208" t="s">
        <v>2316</v>
      </c>
    </row>
    <row r="209" customFormat="1" spans="1:35">
      <c r="A209" t="s">
        <v>2317</v>
      </c>
      <c r="B209" s="3">
        <v>207</v>
      </c>
      <c r="C209" s="3">
        <v>727</v>
      </c>
      <c r="D209" s="21" t="s">
        <v>903</v>
      </c>
      <c r="E209" t="str">
        <f t="shared" si="2"/>
        <v>727产品仓下带式给煤机</v>
      </c>
      <c r="K209" t="s">
        <v>1273</v>
      </c>
      <c r="M209" s="17" t="s">
        <v>1274</v>
      </c>
      <c r="N209" s="17" t="s">
        <v>1275</v>
      </c>
      <c r="O209" s="17" t="s">
        <v>1276</v>
      </c>
      <c r="P209" s="17" t="s">
        <v>1277</v>
      </c>
      <c r="Q209" s="17" t="s">
        <v>1278</v>
      </c>
      <c r="T209" s="20" t="s">
        <v>2318</v>
      </c>
      <c r="U209" s="20" t="s">
        <v>2319</v>
      </c>
      <c r="V209" s="20" t="s">
        <v>2320</v>
      </c>
      <c r="W209" s="20" t="s">
        <v>2321</v>
      </c>
      <c r="X209" s="20" t="s">
        <v>2322</v>
      </c>
      <c r="Y209" t="s">
        <v>2323</v>
      </c>
      <c r="AA209" t="s">
        <v>2074</v>
      </c>
      <c r="AB209">
        <v>0</v>
      </c>
      <c r="AD209" t="s">
        <v>2075</v>
      </c>
      <c r="AE209" t="s">
        <v>2076</v>
      </c>
      <c r="AF209" t="s">
        <v>2307</v>
      </c>
      <c r="AG209" t="s">
        <v>2078</v>
      </c>
      <c r="AH209" t="s">
        <v>2324</v>
      </c>
      <c r="AI209" t="s">
        <v>2325</v>
      </c>
    </row>
    <row r="210" customFormat="1" spans="1:35">
      <c r="A210" t="s">
        <v>2326</v>
      </c>
      <c r="B210" s="3">
        <v>208</v>
      </c>
      <c r="C210" s="3">
        <v>728</v>
      </c>
      <c r="D210" s="21" t="s">
        <v>903</v>
      </c>
      <c r="E210" t="str">
        <f t="shared" si="2"/>
        <v>728产品仓下带式给煤机</v>
      </c>
      <c r="K210" t="s">
        <v>1279</v>
      </c>
      <c r="M210" s="17" t="s">
        <v>1280</v>
      </c>
      <c r="N210" s="17" t="s">
        <v>1281</v>
      </c>
      <c r="O210" s="17" t="s">
        <v>1282</v>
      </c>
      <c r="P210" s="17" t="s">
        <v>1283</v>
      </c>
      <c r="Q210" s="17" t="s">
        <v>1284</v>
      </c>
      <c r="T210" s="20" t="s">
        <v>2327</v>
      </c>
      <c r="U210" s="20" t="s">
        <v>2328</v>
      </c>
      <c r="V210" s="20" t="s">
        <v>2329</v>
      </c>
      <c r="W210" s="20" t="s">
        <v>2330</v>
      </c>
      <c r="X210" s="20" t="s">
        <v>2331</v>
      </c>
      <c r="Y210" t="s">
        <v>2332</v>
      </c>
      <c r="AA210" t="s">
        <v>2074</v>
      </c>
      <c r="AB210">
        <v>0</v>
      </c>
      <c r="AD210" t="s">
        <v>2075</v>
      </c>
      <c r="AE210" t="s">
        <v>2076</v>
      </c>
      <c r="AF210" t="s">
        <v>2316</v>
      </c>
      <c r="AG210" t="s">
        <v>2078</v>
      </c>
      <c r="AH210" t="s">
        <v>2333</v>
      </c>
      <c r="AI210" t="s">
        <v>2334</v>
      </c>
    </row>
    <row r="211" customFormat="1" spans="1:35">
      <c r="A211" t="s">
        <v>2335</v>
      </c>
      <c r="B211" s="3">
        <v>209</v>
      </c>
      <c r="C211" s="3">
        <v>729</v>
      </c>
      <c r="D211" s="21" t="s">
        <v>903</v>
      </c>
      <c r="E211" t="str">
        <f t="shared" si="2"/>
        <v>729产品仓下带式给煤机</v>
      </c>
      <c r="K211" t="s">
        <v>1285</v>
      </c>
      <c r="M211" s="17" t="s">
        <v>1286</v>
      </c>
      <c r="N211" s="17" t="s">
        <v>1287</v>
      </c>
      <c r="O211" s="17" t="s">
        <v>1288</v>
      </c>
      <c r="P211" s="17" t="s">
        <v>1289</v>
      </c>
      <c r="Q211" s="17" t="s">
        <v>1290</v>
      </c>
      <c r="T211" s="20" t="s">
        <v>2336</v>
      </c>
      <c r="U211" s="20" t="s">
        <v>2337</v>
      </c>
      <c r="V211" s="20" t="s">
        <v>2338</v>
      </c>
      <c r="W211" s="20" t="s">
        <v>2339</v>
      </c>
      <c r="X211" s="20" t="s">
        <v>1504</v>
      </c>
      <c r="Y211" t="s">
        <v>2340</v>
      </c>
      <c r="AA211" t="s">
        <v>2074</v>
      </c>
      <c r="AB211">
        <v>0</v>
      </c>
      <c r="AD211" t="s">
        <v>2075</v>
      </c>
      <c r="AE211" t="s">
        <v>2076</v>
      </c>
      <c r="AF211" t="s">
        <v>2325</v>
      </c>
      <c r="AG211" t="s">
        <v>2078</v>
      </c>
      <c r="AH211" t="s">
        <v>2341</v>
      </c>
      <c r="AI211" t="s">
        <v>2342</v>
      </c>
    </row>
    <row r="212" customFormat="1" spans="1:35">
      <c r="A212" t="s">
        <v>2343</v>
      </c>
      <c r="B212" s="3">
        <v>210</v>
      </c>
      <c r="C212" s="3">
        <v>730</v>
      </c>
      <c r="D212" s="21" t="s">
        <v>903</v>
      </c>
      <c r="E212" t="str">
        <f t="shared" si="2"/>
        <v>730产品仓下带式给煤机</v>
      </c>
      <c r="K212" t="s">
        <v>1291</v>
      </c>
      <c r="M212" s="17" t="s">
        <v>1292</v>
      </c>
      <c r="N212" s="17" t="s">
        <v>1293</v>
      </c>
      <c r="O212" s="17" t="s">
        <v>1294</v>
      </c>
      <c r="P212" s="17" t="s">
        <v>1295</v>
      </c>
      <c r="Q212" s="17" t="s">
        <v>1296</v>
      </c>
      <c r="T212" s="20" t="s">
        <v>2344</v>
      </c>
      <c r="U212" s="20" t="s">
        <v>2345</v>
      </c>
      <c r="V212" s="20" t="s">
        <v>2346</v>
      </c>
      <c r="W212" s="20" t="s">
        <v>1505</v>
      </c>
      <c r="X212" s="20" t="s">
        <v>1503</v>
      </c>
      <c r="Y212" t="s">
        <v>2347</v>
      </c>
      <c r="AA212" t="s">
        <v>2074</v>
      </c>
      <c r="AB212">
        <v>0</v>
      </c>
      <c r="AD212" t="s">
        <v>2075</v>
      </c>
      <c r="AE212" t="s">
        <v>2076</v>
      </c>
      <c r="AF212" t="s">
        <v>2334</v>
      </c>
      <c r="AG212" t="s">
        <v>2078</v>
      </c>
      <c r="AH212" t="s">
        <v>2348</v>
      </c>
      <c r="AI212" t="s">
        <v>2349</v>
      </c>
    </row>
    <row r="213" customFormat="1" spans="1:35">
      <c r="A213" t="s">
        <v>2350</v>
      </c>
      <c r="B213" s="3">
        <v>211</v>
      </c>
      <c r="C213" s="3">
        <v>731</v>
      </c>
      <c r="D213" s="21" t="s">
        <v>903</v>
      </c>
      <c r="E213" t="str">
        <f t="shared" si="2"/>
        <v>731产品仓下带式给煤机</v>
      </c>
      <c r="K213" t="s">
        <v>1297</v>
      </c>
      <c r="M213" s="17" t="s">
        <v>1298</v>
      </c>
      <c r="N213" s="17" t="s">
        <v>1299</v>
      </c>
      <c r="O213" s="17" t="s">
        <v>1300</v>
      </c>
      <c r="P213" s="17" t="s">
        <v>1301</v>
      </c>
      <c r="Q213" s="17" t="s">
        <v>1302</v>
      </c>
      <c r="T213" s="20" t="s">
        <v>2351</v>
      </c>
      <c r="U213" s="20" t="s">
        <v>2352</v>
      </c>
      <c r="V213" s="20" t="s">
        <v>2353</v>
      </c>
      <c r="W213" s="20" t="s">
        <v>2354</v>
      </c>
      <c r="X213" s="20" t="s">
        <v>2355</v>
      </c>
      <c r="Y213" t="s">
        <v>2356</v>
      </c>
      <c r="AA213" t="s">
        <v>2074</v>
      </c>
      <c r="AB213">
        <v>0</v>
      </c>
      <c r="AD213" t="s">
        <v>2075</v>
      </c>
      <c r="AE213" t="s">
        <v>2076</v>
      </c>
      <c r="AF213" t="s">
        <v>2342</v>
      </c>
      <c r="AG213" t="s">
        <v>2078</v>
      </c>
      <c r="AH213" t="s">
        <v>2357</v>
      </c>
      <c r="AI213" t="s">
        <v>2358</v>
      </c>
    </row>
    <row r="214" customFormat="1" spans="1:35">
      <c r="A214" t="s">
        <v>2359</v>
      </c>
      <c r="B214" s="3">
        <v>212</v>
      </c>
      <c r="C214" s="3">
        <v>732</v>
      </c>
      <c r="D214" s="21" t="s">
        <v>903</v>
      </c>
      <c r="E214" t="str">
        <f t="shared" si="2"/>
        <v>732产品仓下带式给煤机</v>
      </c>
      <c r="K214" t="s">
        <v>1303</v>
      </c>
      <c r="M214" s="17" t="s">
        <v>1304</v>
      </c>
      <c r="N214" s="17" t="s">
        <v>1305</v>
      </c>
      <c r="O214" s="17" t="s">
        <v>1306</v>
      </c>
      <c r="P214" s="17" t="s">
        <v>1307</v>
      </c>
      <c r="Q214" s="17" t="s">
        <v>1308</v>
      </c>
      <c r="T214" s="20" t="s">
        <v>2360</v>
      </c>
      <c r="U214" s="20" t="s">
        <v>2361</v>
      </c>
      <c r="V214" s="20" t="s">
        <v>2362</v>
      </c>
      <c r="W214" s="20" t="s">
        <v>2363</v>
      </c>
      <c r="X214" s="20" t="s">
        <v>2364</v>
      </c>
      <c r="Y214" t="s">
        <v>2365</v>
      </c>
      <c r="AA214" t="s">
        <v>2074</v>
      </c>
      <c r="AB214">
        <v>0</v>
      </c>
      <c r="AD214" t="s">
        <v>2075</v>
      </c>
      <c r="AE214" t="s">
        <v>2076</v>
      </c>
      <c r="AF214" t="s">
        <v>2349</v>
      </c>
      <c r="AG214" t="s">
        <v>2078</v>
      </c>
      <c r="AH214" t="s">
        <v>2366</v>
      </c>
      <c r="AI214" t="s">
        <v>2367</v>
      </c>
    </row>
    <row r="215" customFormat="1" spans="1:35">
      <c r="A215" t="s">
        <v>2368</v>
      </c>
      <c r="B215" s="3">
        <v>213</v>
      </c>
      <c r="C215" s="3">
        <v>733</v>
      </c>
      <c r="D215" s="21" t="s">
        <v>903</v>
      </c>
      <c r="E215" t="str">
        <f t="shared" si="2"/>
        <v>733产品仓下带式给煤机</v>
      </c>
      <c r="K215" t="s">
        <v>1309</v>
      </c>
      <c r="M215" s="17" t="s">
        <v>1310</v>
      </c>
      <c r="N215" s="17" t="s">
        <v>1311</v>
      </c>
      <c r="O215" s="17" t="s">
        <v>1312</v>
      </c>
      <c r="P215" s="17" t="s">
        <v>1313</v>
      </c>
      <c r="Q215" s="17" t="s">
        <v>1314</v>
      </c>
      <c r="T215" s="20" t="s">
        <v>2369</v>
      </c>
      <c r="U215" s="20" t="s">
        <v>2370</v>
      </c>
      <c r="V215" s="20" t="s">
        <v>2371</v>
      </c>
      <c r="W215" s="20" t="s">
        <v>2372</v>
      </c>
      <c r="X215" s="20" t="s">
        <v>2373</v>
      </c>
      <c r="Y215" t="s">
        <v>2374</v>
      </c>
      <c r="AA215" t="s">
        <v>2074</v>
      </c>
      <c r="AB215">
        <v>0</v>
      </c>
      <c r="AD215" t="s">
        <v>2075</v>
      </c>
      <c r="AE215" t="s">
        <v>2076</v>
      </c>
      <c r="AF215" t="s">
        <v>2358</v>
      </c>
      <c r="AG215" t="s">
        <v>2078</v>
      </c>
      <c r="AH215" t="s">
        <v>2375</v>
      </c>
      <c r="AI215" t="s">
        <v>2376</v>
      </c>
    </row>
    <row r="216" customFormat="1" spans="1:35">
      <c r="A216" t="s">
        <v>2377</v>
      </c>
      <c r="B216" s="3">
        <v>214</v>
      </c>
      <c r="C216" s="3">
        <v>734</v>
      </c>
      <c r="D216" s="21" t="s">
        <v>903</v>
      </c>
      <c r="E216" t="str">
        <f t="shared" si="2"/>
        <v>734产品仓下带式给煤机</v>
      </c>
      <c r="K216" t="s">
        <v>1315</v>
      </c>
      <c r="M216" s="17" t="s">
        <v>1316</v>
      </c>
      <c r="N216" s="17" t="s">
        <v>1317</v>
      </c>
      <c r="O216" s="17" t="s">
        <v>1318</v>
      </c>
      <c r="P216" s="17" t="s">
        <v>1319</v>
      </c>
      <c r="Q216" s="17" t="s">
        <v>1320</v>
      </c>
      <c r="T216" s="20" t="s">
        <v>2378</v>
      </c>
      <c r="U216" s="20" t="s">
        <v>2379</v>
      </c>
      <c r="V216" s="20" t="s">
        <v>2380</v>
      </c>
      <c r="W216" s="20" t="s">
        <v>2381</v>
      </c>
      <c r="X216" s="20" t="s">
        <v>2382</v>
      </c>
      <c r="Y216" t="s">
        <v>2383</v>
      </c>
      <c r="AA216" t="s">
        <v>2074</v>
      </c>
      <c r="AB216">
        <v>0</v>
      </c>
      <c r="AD216" t="s">
        <v>2075</v>
      </c>
      <c r="AE216" t="s">
        <v>2076</v>
      </c>
      <c r="AF216" t="s">
        <v>2367</v>
      </c>
      <c r="AG216" t="s">
        <v>2078</v>
      </c>
      <c r="AH216" t="s">
        <v>2384</v>
      </c>
      <c r="AI216" t="s">
        <v>2385</v>
      </c>
    </row>
    <row r="217" customFormat="1" spans="1:35">
      <c r="A217" t="s">
        <v>2386</v>
      </c>
      <c r="B217" s="3">
        <v>215</v>
      </c>
      <c r="C217" s="3">
        <v>735</v>
      </c>
      <c r="D217" s="21" t="s">
        <v>903</v>
      </c>
      <c r="E217" t="str">
        <f t="shared" si="2"/>
        <v>735产品仓下带式给煤机</v>
      </c>
      <c r="K217" t="s">
        <v>1321</v>
      </c>
      <c r="M217" s="17" t="s">
        <v>1322</v>
      </c>
      <c r="N217" s="17" t="s">
        <v>1323</v>
      </c>
      <c r="O217" s="17" t="s">
        <v>1324</v>
      </c>
      <c r="P217" s="17" t="s">
        <v>1325</v>
      </c>
      <c r="Q217" s="17" t="s">
        <v>1326</v>
      </c>
      <c r="T217" s="20" t="s">
        <v>2387</v>
      </c>
      <c r="U217" s="20" t="s">
        <v>2388</v>
      </c>
      <c r="V217" s="20" t="s">
        <v>2389</v>
      </c>
      <c r="W217" s="20" t="s">
        <v>1571</v>
      </c>
      <c r="X217" s="20" t="s">
        <v>2390</v>
      </c>
      <c r="Y217" t="s">
        <v>2391</v>
      </c>
      <c r="AA217" t="s">
        <v>2074</v>
      </c>
      <c r="AB217">
        <v>0</v>
      </c>
      <c r="AD217" t="s">
        <v>2075</v>
      </c>
      <c r="AE217" t="s">
        <v>2076</v>
      </c>
      <c r="AF217" t="s">
        <v>2376</v>
      </c>
      <c r="AG217" t="s">
        <v>2078</v>
      </c>
      <c r="AH217" t="s">
        <v>2392</v>
      </c>
      <c r="AI217" t="s">
        <v>2393</v>
      </c>
    </row>
    <row r="218" customFormat="1" spans="1:35">
      <c r="A218" t="s">
        <v>2394</v>
      </c>
      <c r="B218" s="3">
        <v>216</v>
      </c>
      <c r="C218" s="3">
        <v>736</v>
      </c>
      <c r="D218" s="21" t="s">
        <v>903</v>
      </c>
      <c r="E218" t="str">
        <f t="shared" si="2"/>
        <v>736产品仓下带式给煤机</v>
      </c>
      <c r="K218" t="s">
        <v>1327</v>
      </c>
      <c r="M218" s="17" t="s">
        <v>1328</v>
      </c>
      <c r="N218" s="17" t="s">
        <v>1329</v>
      </c>
      <c r="O218" s="17" t="s">
        <v>1330</v>
      </c>
      <c r="P218" s="17" t="s">
        <v>1331</v>
      </c>
      <c r="Q218" s="17" t="s">
        <v>1332</v>
      </c>
      <c r="T218" s="20" t="s">
        <v>2395</v>
      </c>
      <c r="U218" s="20" t="s">
        <v>2396</v>
      </c>
      <c r="V218" s="20" t="s">
        <v>2397</v>
      </c>
      <c r="W218" s="20" t="s">
        <v>2398</v>
      </c>
      <c r="X218" s="20" t="s">
        <v>1572</v>
      </c>
      <c r="Y218" t="s">
        <v>2399</v>
      </c>
      <c r="AA218" t="s">
        <v>2074</v>
      </c>
      <c r="AB218">
        <v>0</v>
      </c>
      <c r="AD218" t="s">
        <v>2075</v>
      </c>
      <c r="AE218" t="s">
        <v>2076</v>
      </c>
      <c r="AF218" t="s">
        <v>2385</v>
      </c>
      <c r="AG218" t="s">
        <v>2078</v>
      </c>
      <c r="AH218" t="s">
        <v>2400</v>
      </c>
      <c r="AI218" t="s">
        <v>2401</v>
      </c>
    </row>
  </sheetData>
  <mergeCells count="1">
    <mergeCell ref="C2:D2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L34"/>
  <sheetViews>
    <sheetView zoomScale="145" zoomScaleNormal="145" workbookViewId="0">
      <selection activeCell="K17" sqref="K17"/>
    </sheetView>
  </sheetViews>
  <sheetFormatPr defaultColWidth="8.72727272727273" defaultRowHeight="14"/>
  <cols>
    <col min="7" max="7" width="8.72727272727273" style="1"/>
    <col min="8" max="8" width="13.2727272727273" style="2" customWidth="1"/>
    <col min="11" max="11" width="10.5454545454545"/>
    <col min="12" max="12" width="12.8181818181818"/>
  </cols>
  <sheetData>
    <row r="1" spans="7:8">
      <c r="G1" s="3" t="s">
        <v>2</v>
      </c>
      <c r="H1" s="4" t="s">
        <v>2402</v>
      </c>
    </row>
    <row r="2" spans="7:8">
      <c r="G2" s="3">
        <v>1</v>
      </c>
      <c r="H2" s="4">
        <v>206656</v>
      </c>
    </row>
    <row r="3" spans="7:8">
      <c r="G3" s="3">
        <v>2</v>
      </c>
      <c r="H3" s="4">
        <v>28747.5</v>
      </c>
    </row>
    <row r="4" spans="7:8">
      <c r="G4" s="3">
        <v>3</v>
      </c>
      <c r="H4" s="4">
        <v>209568</v>
      </c>
    </row>
    <row r="5" spans="7:8">
      <c r="G5" s="3">
        <v>4</v>
      </c>
      <c r="H5" s="4">
        <v>27300</v>
      </c>
    </row>
    <row r="6" spans="7:8">
      <c r="G6" s="3">
        <v>5</v>
      </c>
      <c r="H6" s="4">
        <v>30758</v>
      </c>
    </row>
    <row r="7" spans="7:8">
      <c r="G7" s="3">
        <v>6</v>
      </c>
      <c r="H7" s="4">
        <v>5200</v>
      </c>
    </row>
    <row r="8" spans="7:8">
      <c r="G8" s="3">
        <v>7</v>
      </c>
      <c r="H8" s="4">
        <v>70250</v>
      </c>
    </row>
    <row r="9" spans="7:8">
      <c r="G9" s="3">
        <v>8</v>
      </c>
      <c r="H9" s="4">
        <v>96900</v>
      </c>
    </row>
    <row r="10" spans="7:8">
      <c r="G10" s="3">
        <v>9</v>
      </c>
      <c r="H10" s="4">
        <v>60000</v>
      </c>
    </row>
    <row r="11" spans="7:8">
      <c r="G11" s="3">
        <v>10</v>
      </c>
      <c r="H11" s="4">
        <v>54540</v>
      </c>
    </row>
    <row r="12" spans="7:8">
      <c r="G12" s="3">
        <v>11</v>
      </c>
      <c r="H12" s="4">
        <v>8200</v>
      </c>
    </row>
    <row r="13" spans="7:8">
      <c r="G13" s="3">
        <v>12</v>
      </c>
      <c r="H13" s="4">
        <v>2910</v>
      </c>
    </row>
    <row r="14" spans="7:8">
      <c r="G14" s="3">
        <v>13</v>
      </c>
      <c r="H14" s="4">
        <v>195300</v>
      </c>
    </row>
    <row r="15" spans="7:8">
      <c r="G15" s="3">
        <v>14</v>
      </c>
      <c r="H15" s="4">
        <v>25200</v>
      </c>
    </row>
    <row r="16" spans="7:8">
      <c r="G16" s="3">
        <v>15</v>
      </c>
      <c r="H16" s="4">
        <v>4900</v>
      </c>
    </row>
    <row r="17" spans="7:8">
      <c r="G17" s="3">
        <v>16</v>
      </c>
      <c r="H17" s="4">
        <v>12950</v>
      </c>
    </row>
    <row r="18" spans="7:8">
      <c r="G18" s="3">
        <v>17</v>
      </c>
      <c r="H18" s="4">
        <v>50892</v>
      </c>
    </row>
    <row r="19" spans="7:8">
      <c r="G19" s="3">
        <v>18</v>
      </c>
      <c r="H19" s="4">
        <v>144194</v>
      </c>
    </row>
    <row r="20" spans="7:8">
      <c r="G20" s="3">
        <v>19</v>
      </c>
      <c r="H20" s="4">
        <v>20640</v>
      </c>
    </row>
    <row r="21" spans="7:8">
      <c r="G21" s="3">
        <v>20</v>
      </c>
      <c r="H21" s="4">
        <v>55300</v>
      </c>
    </row>
    <row r="22" spans="7:8">
      <c r="G22" s="3">
        <v>21</v>
      </c>
      <c r="H22" s="4">
        <v>39500</v>
      </c>
    </row>
    <row r="23" spans="7:8">
      <c r="G23" s="3">
        <v>22</v>
      </c>
      <c r="H23" s="4">
        <v>48000</v>
      </c>
    </row>
    <row r="24" spans="7:8">
      <c r="G24" s="3">
        <v>23</v>
      </c>
      <c r="H24" s="4">
        <v>2100</v>
      </c>
    </row>
    <row r="25" spans="7:8">
      <c r="G25" s="3">
        <v>24</v>
      </c>
      <c r="H25" s="4">
        <v>6000</v>
      </c>
    </row>
    <row r="26" spans="7:8">
      <c r="G26" s="3">
        <v>25</v>
      </c>
      <c r="H26" s="4">
        <v>4998</v>
      </c>
    </row>
    <row r="27" spans="7:8">
      <c r="G27" s="3">
        <v>26</v>
      </c>
      <c r="H27" s="4">
        <v>4000</v>
      </c>
    </row>
    <row r="28" spans="7:8">
      <c r="G28" s="3">
        <v>27</v>
      </c>
      <c r="H28" s="4">
        <v>3600</v>
      </c>
    </row>
    <row r="29" spans="7:8">
      <c r="G29" s="3">
        <v>28</v>
      </c>
      <c r="H29" s="4">
        <v>5000</v>
      </c>
    </row>
    <row r="30" spans="7:8">
      <c r="G30" s="3">
        <v>29</v>
      </c>
      <c r="H30" s="4">
        <v>11700</v>
      </c>
    </row>
    <row r="31" spans="7:8">
      <c r="G31" s="3">
        <v>30</v>
      </c>
      <c r="H31" s="4">
        <v>800</v>
      </c>
    </row>
    <row r="32" spans="7:8">
      <c r="G32" s="3">
        <v>31</v>
      </c>
      <c r="H32" s="4">
        <v>14352</v>
      </c>
    </row>
    <row r="33" spans="7:12">
      <c r="G33" s="3">
        <v>32</v>
      </c>
      <c r="H33" s="4">
        <v>3000</v>
      </c>
      <c r="J33" s="3" t="s">
        <v>2403</v>
      </c>
      <c r="K33" s="3" t="s">
        <v>2404</v>
      </c>
      <c r="L33" s="3" t="s">
        <v>2405</v>
      </c>
    </row>
    <row r="34" spans="7:12">
      <c r="G34" s="3" t="s">
        <v>2406</v>
      </c>
      <c r="H34" s="4">
        <f>SUM(H2:H33)</f>
        <v>1453455.5</v>
      </c>
      <c r="J34" s="3">
        <v>0.05</v>
      </c>
      <c r="K34" s="3">
        <f>H34*J34</f>
        <v>72672.775</v>
      </c>
      <c r="L34" s="3">
        <f>H34-K34</f>
        <v>1380782.725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L18"/>
  <sheetViews>
    <sheetView workbookViewId="0">
      <selection activeCell="H18" sqref="H18"/>
    </sheetView>
  </sheetViews>
  <sheetFormatPr defaultColWidth="8.72727272727273" defaultRowHeight="14"/>
  <sheetData>
    <row r="7" spans="4:12">
      <c r="D7" t="s">
        <v>2407</v>
      </c>
      <c r="F7">
        <v>0</v>
      </c>
      <c r="G7" t="s">
        <v>2408</v>
      </c>
      <c r="H7">
        <v>1</v>
      </c>
      <c r="J7" t="s">
        <v>2409</v>
      </c>
      <c r="K7" t="s">
        <v>2410</v>
      </c>
      <c r="L7" t="s">
        <v>2411</v>
      </c>
    </row>
    <row r="8" spans="4:12">
      <c r="D8" t="s">
        <v>2412</v>
      </c>
      <c r="F8">
        <v>0</v>
      </c>
      <c r="G8" t="s">
        <v>2408</v>
      </c>
      <c r="H8">
        <v>1</v>
      </c>
      <c r="J8" t="s">
        <v>2409</v>
      </c>
      <c r="K8" t="s">
        <v>2410</v>
      </c>
      <c r="L8" t="s">
        <v>2413</v>
      </c>
    </row>
    <row r="9" spans="4:12">
      <c r="D9" t="s">
        <v>2414</v>
      </c>
      <c r="F9">
        <v>0</v>
      </c>
      <c r="G9" t="s">
        <v>2408</v>
      </c>
      <c r="H9">
        <v>1</v>
      </c>
      <c r="J9" t="s">
        <v>2409</v>
      </c>
      <c r="K9" t="s">
        <v>2410</v>
      </c>
      <c r="L9" t="s">
        <v>2415</v>
      </c>
    </row>
    <row r="10" spans="4:12">
      <c r="D10" t="s">
        <v>2416</v>
      </c>
      <c r="F10">
        <v>0</v>
      </c>
      <c r="G10" t="s">
        <v>2408</v>
      </c>
      <c r="H10">
        <v>1</v>
      </c>
      <c r="J10" t="s">
        <v>2409</v>
      </c>
      <c r="K10" t="s">
        <v>2410</v>
      </c>
      <c r="L10" t="s">
        <v>2417</v>
      </c>
    </row>
    <row r="11" spans="4:12">
      <c r="D11" t="s">
        <v>2418</v>
      </c>
      <c r="F11">
        <v>0</v>
      </c>
      <c r="G11" t="s">
        <v>2408</v>
      </c>
      <c r="H11">
        <v>1</v>
      </c>
      <c r="J11" t="s">
        <v>2409</v>
      </c>
      <c r="K11" t="s">
        <v>2410</v>
      </c>
      <c r="L11" t="s">
        <v>2419</v>
      </c>
    </row>
    <row r="12" spans="4:12">
      <c r="D12" t="s">
        <v>2420</v>
      </c>
      <c r="F12">
        <v>0</v>
      </c>
      <c r="G12" t="s">
        <v>2408</v>
      </c>
      <c r="H12">
        <v>1</v>
      </c>
      <c r="J12" t="s">
        <v>2409</v>
      </c>
      <c r="K12" t="s">
        <v>2410</v>
      </c>
      <c r="L12" t="s">
        <v>643</v>
      </c>
    </row>
    <row r="13" spans="4:12">
      <c r="D13" t="s">
        <v>2421</v>
      </c>
      <c r="F13">
        <v>0</v>
      </c>
      <c r="G13" t="s">
        <v>2408</v>
      </c>
      <c r="H13">
        <v>1</v>
      </c>
      <c r="J13" t="s">
        <v>2409</v>
      </c>
      <c r="K13" t="s">
        <v>2410</v>
      </c>
      <c r="L13" t="s">
        <v>2422</v>
      </c>
    </row>
    <row r="14" spans="4:12">
      <c r="D14" t="s">
        <v>2423</v>
      </c>
      <c r="F14">
        <v>0</v>
      </c>
      <c r="G14" t="s">
        <v>2408</v>
      </c>
      <c r="H14">
        <v>1</v>
      </c>
      <c r="J14" t="s">
        <v>2409</v>
      </c>
      <c r="K14" t="s">
        <v>2410</v>
      </c>
      <c r="L14" t="s">
        <v>581</v>
      </c>
    </row>
    <row r="17" spans="4:5">
      <c r="D17" t="s">
        <v>2424</v>
      </c>
      <c r="E17" t="s">
        <v>2425</v>
      </c>
    </row>
    <row r="18" spans="4:5">
      <c r="D18" t="s">
        <v>2426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K215"/>
  <sheetViews>
    <sheetView topLeftCell="A190" workbookViewId="0">
      <selection activeCell="N14" sqref="N14"/>
    </sheetView>
  </sheetViews>
  <sheetFormatPr defaultColWidth="8.72727272727273" defaultRowHeight="14"/>
  <cols>
    <col min="6" max="6" width="14.1818181818182" customWidth="1"/>
    <col min="10" max="10" width="12.2727272727273" customWidth="1"/>
    <col min="11" max="11" width="21.7272727272727" customWidth="1"/>
  </cols>
  <sheetData>
    <row r="2" spans="4:11">
      <c r="D2" t="s">
        <v>10</v>
      </c>
      <c r="F2" t="s">
        <v>2074</v>
      </c>
      <c r="G2">
        <v>0</v>
      </c>
      <c r="I2" t="s">
        <v>2075</v>
      </c>
      <c r="J2" t="s">
        <v>2076</v>
      </c>
      <c r="K2" t="s">
        <v>2427</v>
      </c>
    </row>
    <row r="3" spans="4:11">
      <c r="D3" t="s">
        <v>18</v>
      </c>
      <c r="F3" t="s">
        <v>2074</v>
      </c>
      <c r="G3">
        <v>0</v>
      </c>
      <c r="I3" t="s">
        <v>2075</v>
      </c>
      <c r="J3" t="s">
        <v>2076</v>
      </c>
      <c r="K3" t="s">
        <v>2428</v>
      </c>
    </row>
    <row r="4" spans="4:11">
      <c r="D4" t="s">
        <v>28</v>
      </c>
      <c r="F4" t="s">
        <v>2074</v>
      </c>
      <c r="G4">
        <v>0</v>
      </c>
      <c r="I4" t="s">
        <v>2075</v>
      </c>
      <c r="J4" t="s">
        <v>2076</v>
      </c>
      <c r="K4" t="s">
        <v>2429</v>
      </c>
    </row>
    <row r="5" spans="4:11">
      <c r="D5" t="s">
        <v>2430</v>
      </c>
      <c r="F5" t="s">
        <v>2074</v>
      </c>
      <c r="G5">
        <v>0</v>
      </c>
      <c r="I5" t="s">
        <v>2075</v>
      </c>
      <c r="J5" t="s">
        <v>2076</v>
      </c>
      <c r="K5" t="s">
        <v>2431</v>
      </c>
    </row>
    <row r="6" spans="4:11">
      <c r="D6" t="s">
        <v>2432</v>
      </c>
      <c r="F6" t="s">
        <v>2074</v>
      </c>
      <c r="G6">
        <v>0</v>
      </c>
      <c r="I6" t="s">
        <v>2075</v>
      </c>
      <c r="J6" t="s">
        <v>2076</v>
      </c>
      <c r="K6" t="s">
        <v>2433</v>
      </c>
    </row>
    <row r="7" spans="4:11">
      <c r="D7" t="s">
        <v>2434</v>
      </c>
      <c r="F7" t="s">
        <v>2074</v>
      </c>
      <c r="G7">
        <v>0</v>
      </c>
      <c r="I7" t="s">
        <v>2075</v>
      </c>
      <c r="J7" t="s">
        <v>2076</v>
      </c>
      <c r="K7" t="s">
        <v>2435</v>
      </c>
    </row>
    <row r="8" spans="4:11">
      <c r="D8" t="s">
        <v>2436</v>
      </c>
      <c r="F8" t="s">
        <v>2074</v>
      </c>
      <c r="G8">
        <v>0</v>
      </c>
      <c r="I8" t="s">
        <v>2075</v>
      </c>
      <c r="J8" t="s">
        <v>2076</v>
      </c>
      <c r="K8" t="s">
        <v>2437</v>
      </c>
    </row>
    <row r="9" spans="4:11">
      <c r="D9" t="s">
        <v>2438</v>
      </c>
      <c r="F9" t="s">
        <v>2074</v>
      </c>
      <c r="G9">
        <v>0</v>
      </c>
      <c r="I9" t="s">
        <v>2075</v>
      </c>
      <c r="J9" t="s">
        <v>2076</v>
      </c>
      <c r="K9" t="s">
        <v>2439</v>
      </c>
    </row>
    <row r="10" spans="4:11">
      <c r="D10" t="s">
        <v>85</v>
      </c>
      <c r="F10" t="s">
        <v>2074</v>
      </c>
      <c r="G10">
        <v>0</v>
      </c>
      <c r="I10" t="s">
        <v>2075</v>
      </c>
      <c r="J10" t="s">
        <v>2076</v>
      </c>
      <c r="K10" t="s">
        <v>2440</v>
      </c>
    </row>
    <row r="11" spans="4:11">
      <c r="D11" t="s">
        <v>94</v>
      </c>
      <c r="F11" t="s">
        <v>2074</v>
      </c>
      <c r="G11">
        <v>0</v>
      </c>
      <c r="I11" t="s">
        <v>2075</v>
      </c>
      <c r="J11" t="s">
        <v>2076</v>
      </c>
      <c r="K11" t="s">
        <v>2441</v>
      </c>
    </row>
    <row r="12" spans="4:11">
      <c r="D12" t="s">
        <v>2442</v>
      </c>
      <c r="F12" t="s">
        <v>2074</v>
      </c>
      <c r="G12">
        <v>0</v>
      </c>
      <c r="I12" t="s">
        <v>2075</v>
      </c>
      <c r="J12" t="s">
        <v>2076</v>
      </c>
      <c r="K12" t="s">
        <v>2443</v>
      </c>
    </row>
    <row r="13" spans="4:11">
      <c r="D13" t="s">
        <v>2444</v>
      </c>
      <c r="F13" t="s">
        <v>2074</v>
      </c>
      <c r="G13">
        <v>0</v>
      </c>
      <c r="I13" t="s">
        <v>2075</v>
      </c>
      <c r="J13" t="s">
        <v>2076</v>
      </c>
      <c r="K13" t="s">
        <v>2445</v>
      </c>
    </row>
    <row r="14" spans="4:11">
      <c r="D14" t="s">
        <v>2446</v>
      </c>
      <c r="F14" t="s">
        <v>2074</v>
      </c>
      <c r="G14">
        <v>0</v>
      </c>
      <c r="I14" t="s">
        <v>2075</v>
      </c>
      <c r="J14" t="s">
        <v>2076</v>
      </c>
      <c r="K14" t="s">
        <v>2447</v>
      </c>
    </row>
    <row r="15" spans="4:11">
      <c r="D15" t="s">
        <v>2448</v>
      </c>
      <c r="F15" t="s">
        <v>2074</v>
      </c>
      <c r="G15">
        <v>0</v>
      </c>
      <c r="I15" t="s">
        <v>2075</v>
      </c>
      <c r="J15" t="s">
        <v>2076</v>
      </c>
      <c r="K15" t="s">
        <v>2449</v>
      </c>
    </row>
    <row r="16" spans="4:11">
      <c r="D16" t="s">
        <v>2450</v>
      </c>
      <c r="F16" t="s">
        <v>2074</v>
      </c>
      <c r="G16">
        <v>0</v>
      </c>
      <c r="I16" t="s">
        <v>2075</v>
      </c>
      <c r="J16" t="s">
        <v>2076</v>
      </c>
      <c r="K16" t="s">
        <v>2451</v>
      </c>
    </row>
    <row r="17" spans="4:11">
      <c r="D17" t="s">
        <v>2452</v>
      </c>
      <c r="F17" t="s">
        <v>2074</v>
      </c>
      <c r="G17">
        <v>0</v>
      </c>
      <c r="I17" t="s">
        <v>2075</v>
      </c>
      <c r="J17" t="s">
        <v>2076</v>
      </c>
      <c r="K17" t="s">
        <v>2453</v>
      </c>
    </row>
    <row r="18" spans="4:11">
      <c r="D18" t="s">
        <v>2454</v>
      </c>
      <c r="F18" t="s">
        <v>2074</v>
      </c>
      <c r="G18">
        <v>0</v>
      </c>
      <c r="I18" t="s">
        <v>2075</v>
      </c>
      <c r="J18" t="s">
        <v>2076</v>
      </c>
      <c r="K18" t="s">
        <v>2455</v>
      </c>
    </row>
    <row r="19" spans="4:11">
      <c r="D19" t="s">
        <v>2456</v>
      </c>
      <c r="F19" t="s">
        <v>2074</v>
      </c>
      <c r="G19">
        <v>0</v>
      </c>
      <c r="I19" t="s">
        <v>2075</v>
      </c>
      <c r="J19" t="s">
        <v>2076</v>
      </c>
      <c r="K19" t="s">
        <v>2457</v>
      </c>
    </row>
    <row r="20" spans="4:11">
      <c r="D20" t="s">
        <v>2458</v>
      </c>
      <c r="F20" t="s">
        <v>2074</v>
      </c>
      <c r="G20">
        <v>0</v>
      </c>
      <c r="I20" t="s">
        <v>2075</v>
      </c>
      <c r="J20" t="s">
        <v>2076</v>
      </c>
      <c r="K20" t="s">
        <v>2459</v>
      </c>
    </row>
    <row r="21" spans="4:11">
      <c r="D21" t="s">
        <v>2460</v>
      </c>
      <c r="F21" t="s">
        <v>2074</v>
      </c>
      <c r="G21">
        <v>0</v>
      </c>
      <c r="I21" t="s">
        <v>2075</v>
      </c>
      <c r="J21" t="s">
        <v>2076</v>
      </c>
      <c r="K21" t="s">
        <v>2461</v>
      </c>
    </row>
    <row r="22" spans="4:11">
      <c r="D22" t="s">
        <v>2462</v>
      </c>
      <c r="F22" t="s">
        <v>2074</v>
      </c>
      <c r="G22">
        <v>0</v>
      </c>
      <c r="I22" t="s">
        <v>2075</v>
      </c>
      <c r="J22" t="s">
        <v>2076</v>
      </c>
      <c r="K22" t="s">
        <v>2463</v>
      </c>
    </row>
    <row r="23" spans="4:11">
      <c r="D23" t="s">
        <v>2464</v>
      </c>
      <c r="F23" t="s">
        <v>2074</v>
      </c>
      <c r="G23">
        <v>0</v>
      </c>
      <c r="I23" t="s">
        <v>2075</v>
      </c>
      <c r="J23" t="s">
        <v>2076</v>
      </c>
      <c r="K23" t="s">
        <v>2465</v>
      </c>
    </row>
    <row r="24" spans="4:11">
      <c r="D24" t="s">
        <v>2466</v>
      </c>
      <c r="F24" t="s">
        <v>2074</v>
      </c>
      <c r="G24">
        <v>0</v>
      </c>
      <c r="I24" t="s">
        <v>2075</v>
      </c>
      <c r="J24" t="s">
        <v>2076</v>
      </c>
      <c r="K24" t="s">
        <v>2467</v>
      </c>
    </row>
    <row r="25" spans="4:11">
      <c r="D25" t="s">
        <v>2468</v>
      </c>
      <c r="F25" t="s">
        <v>2074</v>
      </c>
      <c r="G25">
        <v>0</v>
      </c>
      <c r="I25" t="s">
        <v>2075</v>
      </c>
      <c r="J25" t="s">
        <v>2076</v>
      </c>
      <c r="K25" t="s">
        <v>2469</v>
      </c>
    </row>
    <row r="26" spans="4:11">
      <c r="D26" t="s">
        <v>2470</v>
      </c>
      <c r="F26" t="s">
        <v>2074</v>
      </c>
      <c r="G26">
        <v>0</v>
      </c>
      <c r="I26" t="s">
        <v>2075</v>
      </c>
      <c r="J26" t="s">
        <v>2076</v>
      </c>
      <c r="K26" t="s">
        <v>2471</v>
      </c>
    </row>
    <row r="27" spans="4:11">
      <c r="D27" t="s">
        <v>2472</v>
      </c>
      <c r="F27" t="s">
        <v>2074</v>
      </c>
      <c r="G27">
        <v>0</v>
      </c>
      <c r="I27" t="s">
        <v>2075</v>
      </c>
      <c r="J27" t="s">
        <v>2076</v>
      </c>
      <c r="K27" t="s">
        <v>2473</v>
      </c>
    </row>
    <row r="28" spans="4:11">
      <c r="D28" t="s">
        <v>2474</v>
      </c>
      <c r="F28" t="s">
        <v>2074</v>
      </c>
      <c r="G28">
        <v>0</v>
      </c>
      <c r="I28" t="s">
        <v>2075</v>
      </c>
      <c r="J28" t="s">
        <v>2076</v>
      </c>
      <c r="K28" t="s">
        <v>2475</v>
      </c>
    </row>
    <row r="29" spans="4:11">
      <c r="D29" t="s">
        <v>2476</v>
      </c>
      <c r="F29" t="s">
        <v>2074</v>
      </c>
      <c r="G29">
        <v>0</v>
      </c>
      <c r="I29" t="s">
        <v>2075</v>
      </c>
      <c r="J29" t="s">
        <v>2076</v>
      </c>
      <c r="K29" t="s">
        <v>2477</v>
      </c>
    </row>
    <row r="30" spans="4:11">
      <c r="D30" t="s">
        <v>2478</v>
      </c>
      <c r="F30" t="s">
        <v>2074</v>
      </c>
      <c r="G30">
        <v>0</v>
      </c>
      <c r="I30" t="s">
        <v>2075</v>
      </c>
      <c r="J30" t="s">
        <v>2076</v>
      </c>
      <c r="K30" t="s">
        <v>2479</v>
      </c>
    </row>
    <row r="31" spans="4:11">
      <c r="D31" t="s">
        <v>2480</v>
      </c>
      <c r="F31" t="s">
        <v>2074</v>
      </c>
      <c r="G31">
        <v>0</v>
      </c>
      <c r="I31" t="s">
        <v>2075</v>
      </c>
      <c r="J31" t="s">
        <v>2076</v>
      </c>
      <c r="K31" t="s">
        <v>2481</v>
      </c>
    </row>
    <row r="32" spans="4:11">
      <c r="D32" t="s">
        <v>2482</v>
      </c>
      <c r="F32" t="s">
        <v>2074</v>
      </c>
      <c r="G32">
        <v>0</v>
      </c>
      <c r="I32" t="s">
        <v>2075</v>
      </c>
      <c r="J32" t="s">
        <v>2076</v>
      </c>
      <c r="K32" t="s">
        <v>2483</v>
      </c>
    </row>
    <row r="33" spans="4:11">
      <c r="D33" t="s">
        <v>2484</v>
      </c>
      <c r="F33" t="s">
        <v>2074</v>
      </c>
      <c r="G33">
        <v>0</v>
      </c>
      <c r="I33" t="s">
        <v>2075</v>
      </c>
      <c r="J33" t="s">
        <v>2076</v>
      </c>
      <c r="K33" t="s">
        <v>2485</v>
      </c>
    </row>
    <row r="34" spans="4:11">
      <c r="D34" t="s">
        <v>2486</v>
      </c>
      <c r="F34" t="s">
        <v>2074</v>
      </c>
      <c r="G34">
        <v>0</v>
      </c>
      <c r="I34" t="s">
        <v>2075</v>
      </c>
      <c r="J34" t="s">
        <v>2076</v>
      </c>
      <c r="K34" t="s">
        <v>2487</v>
      </c>
    </row>
    <row r="35" spans="4:11">
      <c r="D35" t="s">
        <v>2488</v>
      </c>
      <c r="F35" t="s">
        <v>2074</v>
      </c>
      <c r="G35">
        <v>0</v>
      </c>
      <c r="I35" t="s">
        <v>2075</v>
      </c>
      <c r="J35" t="s">
        <v>2076</v>
      </c>
      <c r="K35" t="s">
        <v>2489</v>
      </c>
    </row>
    <row r="36" spans="4:11">
      <c r="D36" t="s">
        <v>2490</v>
      </c>
      <c r="F36" t="s">
        <v>2074</v>
      </c>
      <c r="G36">
        <v>0</v>
      </c>
      <c r="I36" t="s">
        <v>2075</v>
      </c>
      <c r="J36" t="s">
        <v>2076</v>
      </c>
      <c r="K36" t="s">
        <v>2491</v>
      </c>
    </row>
    <row r="37" spans="4:11">
      <c r="D37" t="s">
        <v>2492</v>
      </c>
      <c r="F37" t="s">
        <v>2074</v>
      </c>
      <c r="G37">
        <v>0</v>
      </c>
      <c r="I37" t="s">
        <v>2075</v>
      </c>
      <c r="J37" t="s">
        <v>2076</v>
      </c>
      <c r="K37" t="s">
        <v>2493</v>
      </c>
    </row>
    <row r="38" spans="4:11">
      <c r="D38" t="s">
        <v>2494</v>
      </c>
      <c r="F38" t="s">
        <v>2074</v>
      </c>
      <c r="G38">
        <v>0</v>
      </c>
      <c r="I38" t="s">
        <v>2075</v>
      </c>
      <c r="J38" t="s">
        <v>2076</v>
      </c>
      <c r="K38" t="s">
        <v>2495</v>
      </c>
    </row>
    <row r="39" spans="4:11">
      <c r="D39" t="s">
        <v>2496</v>
      </c>
      <c r="F39" t="s">
        <v>2074</v>
      </c>
      <c r="G39">
        <v>0</v>
      </c>
      <c r="I39" t="s">
        <v>2075</v>
      </c>
      <c r="J39" t="s">
        <v>2076</v>
      </c>
      <c r="K39" t="s">
        <v>2497</v>
      </c>
    </row>
    <row r="40" spans="4:11">
      <c r="D40" t="s">
        <v>1545</v>
      </c>
      <c r="F40" t="s">
        <v>2074</v>
      </c>
      <c r="G40">
        <v>0</v>
      </c>
      <c r="I40" t="s">
        <v>2075</v>
      </c>
      <c r="J40" t="s">
        <v>2076</v>
      </c>
      <c r="K40" t="s">
        <v>2498</v>
      </c>
    </row>
    <row r="41" spans="4:11">
      <c r="D41" t="s">
        <v>2499</v>
      </c>
      <c r="F41" t="s">
        <v>2074</v>
      </c>
      <c r="G41">
        <v>0</v>
      </c>
      <c r="I41" t="s">
        <v>2075</v>
      </c>
      <c r="J41" t="s">
        <v>2076</v>
      </c>
      <c r="K41" t="s">
        <v>2500</v>
      </c>
    </row>
    <row r="42" spans="4:11">
      <c r="D42" t="s">
        <v>2501</v>
      </c>
      <c r="F42" t="s">
        <v>2074</v>
      </c>
      <c r="G42">
        <v>0</v>
      </c>
      <c r="I42" t="s">
        <v>2075</v>
      </c>
      <c r="J42" t="s">
        <v>2076</v>
      </c>
      <c r="K42" t="s">
        <v>2502</v>
      </c>
    </row>
    <row r="43" spans="4:11">
      <c r="D43" t="s">
        <v>2503</v>
      </c>
      <c r="F43" t="s">
        <v>2074</v>
      </c>
      <c r="G43">
        <v>0</v>
      </c>
      <c r="I43" t="s">
        <v>2075</v>
      </c>
      <c r="J43" t="s">
        <v>2076</v>
      </c>
      <c r="K43" t="s">
        <v>2504</v>
      </c>
    </row>
    <row r="44" spans="4:11">
      <c r="D44" t="s">
        <v>2505</v>
      </c>
      <c r="F44" t="s">
        <v>2074</v>
      </c>
      <c r="G44">
        <v>0</v>
      </c>
      <c r="I44" t="s">
        <v>2075</v>
      </c>
      <c r="J44" t="s">
        <v>2076</v>
      </c>
      <c r="K44" t="s">
        <v>2506</v>
      </c>
    </row>
    <row r="45" spans="4:11">
      <c r="D45" t="s">
        <v>2507</v>
      </c>
      <c r="F45" t="s">
        <v>2074</v>
      </c>
      <c r="G45">
        <v>0</v>
      </c>
      <c r="I45" t="s">
        <v>2075</v>
      </c>
      <c r="J45" t="s">
        <v>2076</v>
      </c>
      <c r="K45" t="s">
        <v>2508</v>
      </c>
    </row>
    <row r="46" spans="4:11">
      <c r="D46" t="s">
        <v>2509</v>
      </c>
      <c r="F46" t="s">
        <v>2074</v>
      </c>
      <c r="G46">
        <v>0</v>
      </c>
      <c r="I46" t="s">
        <v>2075</v>
      </c>
      <c r="J46" t="s">
        <v>2076</v>
      </c>
      <c r="K46" t="s">
        <v>2510</v>
      </c>
    </row>
    <row r="47" spans="4:11">
      <c r="D47" t="s">
        <v>2511</v>
      </c>
      <c r="F47" t="s">
        <v>2074</v>
      </c>
      <c r="G47">
        <v>0</v>
      </c>
      <c r="I47" t="s">
        <v>2075</v>
      </c>
      <c r="J47" t="s">
        <v>2076</v>
      </c>
      <c r="K47" t="s">
        <v>2512</v>
      </c>
    </row>
    <row r="48" spans="4:11">
      <c r="D48" t="s">
        <v>2513</v>
      </c>
      <c r="F48" t="s">
        <v>2074</v>
      </c>
      <c r="G48">
        <v>0</v>
      </c>
      <c r="I48" t="s">
        <v>2075</v>
      </c>
      <c r="J48" t="s">
        <v>2076</v>
      </c>
      <c r="K48" t="s">
        <v>2514</v>
      </c>
    </row>
    <row r="49" spans="4:11">
      <c r="D49" t="s">
        <v>2515</v>
      </c>
      <c r="F49" t="s">
        <v>2074</v>
      </c>
      <c r="G49">
        <v>0</v>
      </c>
      <c r="I49" t="s">
        <v>2075</v>
      </c>
      <c r="J49" t="s">
        <v>2076</v>
      </c>
      <c r="K49" t="s">
        <v>2516</v>
      </c>
    </row>
    <row r="50" spans="4:11">
      <c r="D50" t="s">
        <v>2517</v>
      </c>
      <c r="F50" t="s">
        <v>2074</v>
      </c>
      <c r="G50">
        <v>0</v>
      </c>
      <c r="I50" t="s">
        <v>2075</v>
      </c>
      <c r="J50" t="s">
        <v>2076</v>
      </c>
      <c r="K50" t="s">
        <v>2518</v>
      </c>
    </row>
    <row r="51" spans="4:11">
      <c r="D51" t="s">
        <v>2519</v>
      </c>
      <c r="F51" t="s">
        <v>2074</v>
      </c>
      <c r="G51">
        <v>0</v>
      </c>
      <c r="I51" t="s">
        <v>2075</v>
      </c>
      <c r="J51" t="s">
        <v>2076</v>
      </c>
      <c r="K51" t="s">
        <v>2520</v>
      </c>
    </row>
    <row r="52" spans="4:11">
      <c r="D52" t="s">
        <v>2521</v>
      </c>
      <c r="F52" t="s">
        <v>2074</v>
      </c>
      <c r="G52">
        <v>0</v>
      </c>
      <c r="I52" t="s">
        <v>2075</v>
      </c>
      <c r="J52" t="s">
        <v>2076</v>
      </c>
      <c r="K52" t="s">
        <v>2522</v>
      </c>
    </row>
    <row r="53" spans="4:11">
      <c r="D53" t="s">
        <v>2523</v>
      </c>
      <c r="F53" t="s">
        <v>2074</v>
      </c>
      <c r="G53">
        <v>0</v>
      </c>
      <c r="I53" t="s">
        <v>2075</v>
      </c>
      <c r="J53" t="s">
        <v>2076</v>
      </c>
      <c r="K53" t="s">
        <v>2524</v>
      </c>
    </row>
    <row r="54" spans="4:11">
      <c r="D54" t="s">
        <v>2525</v>
      </c>
      <c r="F54" t="s">
        <v>2074</v>
      </c>
      <c r="G54">
        <v>0</v>
      </c>
      <c r="I54" t="s">
        <v>2075</v>
      </c>
      <c r="J54" t="s">
        <v>2076</v>
      </c>
      <c r="K54" t="s">
        <v>2526</v>
      </c>
    </row>
    <row r="55" spans="4:11">
      <c r="D55" t="s">
        <v>1625</v>
      </c>
      <c r="F55" t="s">
        <v>2074</v>
      </c>
      <c r="G55">
        <v>0</v>
      </c>
      <c r="I55" t="s">
        <v>2075</v>
      </c>
      <c r="J55" t="s">
        <v>2076</v>
      </c>
      <c r="K55" t="s">
        <v>2527</v>
      </c>
    </row>
    <row r="56" spans="4:11">
      <c r="D56" t="s">
        <v>2528</v>
      </c>
      <c r="F56" t="s">
        <v>2074</v>
      </c>
      <c r="G56">
        <v>0</v>
      </c>
      <c r="I56" t="s">
        <v>2075</v>
      </c>
      <c r="J56" t="s">
        <v>2076</v>
      </c>
      <c r="K56" t="s">
        <v>2529</v>
      </c>
    </row>
    <row r="57" spans="4:11">
      <c r="D57" t="s">
        <v>2530</v>
      </c>
      <c r="F57" t="s">
        <v>2074</v>
      </c>
      <c r="G57">
        <v>0</v>
      </c>
      <c r="I57" t="s">
        <v>2075</v>
      </c>
      <c r="J57" t="s">
        <v>2076</v>
      </c>
      <c r="K57" t="s">
        <v>2531</v>
      </c>
    </row>
    <row r="58" spans="4:11">
      <c r="D58" t="s">
        <v>2532</v>
      </c>
      <c r="F58" t="s">
        <v>2074</v>
      </c>
      <c r="G58">
        <v>0</v>
      </c>
      <c r="I58" t="s">
        <v>2075</v>
      </c>
      <c r="J58" t="s">
        <v>2076</v>
      </c>
      <c r="K58" t="s">
        <v>2533</v>
      </c>
    </row>
    <row r="59" spans="4:11">
      <c r="D59" t="s">
        <v>2534</v>
      </c>
      <c r="F59" t="s">
        <v>2074</v>
      </c>
      <c r="G59">
        <v>0</v>
      </c>
      <c r="I59" t="s">
        <v>2075</v>
      </c>
      <c r="J59" t="s">
        <v>2076</v>
      </c>
      <c r="K59" t="s">
        <v>2535</v>
      </c>
    </row>
    <row r="60" spans="4:11">
      <c r="D60" t="s">
        <v>1653</v>
      </c>
      <c r="F60" t="s">
        <v>2074</v>
      </c>
      <c r="G60">
        <v>0</v>
      </c>
      <c r="I60" t="s">
        <v>2075</v>
      </c>
      <c r="J60" t="s">
        <v>2076</v>
      </c>
      <c r="K60" t="s">
        <v>2536</v>
      </c>
    </row>
    <row r="61" spans="4:11">
      <c r="D61" t="s">
        <v>1659</v>
      </c>
      <c r="F61" t="s">
        <v>2074</v>
      </c>
      <c r="G61">
        <v>0</v>
      </c>
      <c r="I61" t="s">
        <v>2075</v>
      </c>
      <c r="J61" t="s">
        <v>2076</v>
      </c>
      <c r="K61" t="s">
        <v>2537</v>
      </c>
    </row>
    <row r="62" spans="4:11">
      <c r="D62" t="s">
        <v>2538</v>
      </c>
      <c r="F62" t="s">
        <v>2074</v>
      </c>
      <c r="G62">
        <v>0</v>
      </c>
      <c r="I62" t="s">
        <v>2075</v>
      </c>
      <c r="J62" t="s">
        <v>2076</v>
      </c>
      <c r="K62" t="s">
        <v>2539</v>
      </c>
    </row>
    <row r="63" spans="4:11">
      <c r="D63" t="s">
        <v>2540</v>
      </c>
      <c r="F63" t="s">
        <v>2074</v>
      </c>
      <c r="G63">
        <v>0</v>
      </c>
      <c r="I63" t="s">
        <v>2075</v>
      </c>
      <c r="J63" t="s">
        <v>2076</v>
      </c>
      <c r="K63" t="s">
        <v>2541</v>
      </c>
    </row>
    <row r="64" spans="4:11">
      <c r="D64" t="s">
        <v>2542</v>
      </c>
      <c r="F64" t="s">
        <v>2074</v>
      </c>
      <c r="G64">
        <v>0</v>
      </c>
      <c r="I64" t="s">
        <v>2075</v>
      </c>
      <c r="J64" t="s">
        <v>2076</v>
      </c>
      <c r="K64" t="s">
        <v>2543</v>
      </c>
    </row>
    <row r="65" spans="4:11">
      <c r="D65" t="s">
        <v>2544</v>
      </c>
      <c r="F65" t="s">
        <v>2074</v>
      </c>
      <c r="G65">
        <v>0</v>
      </c>
      <c r="I65" t="s">
        <v>2075</v>
      </c>
      <c r="J65" t="s">
        <v>2076</v>
      </c>
      <c r="K65" t="s">
        <v>2545</v>
      </c>
    </row>
    <row r="66" spans="4:11">
      <c r="D66" t="s">
        <v>2546</v>
      </c>
      <c r="F66" t="s">
        <v>2074</v>
      </c>
      <c r="G66">
        <v>0</v>
      </c>
      <c r="I66" t="s">
        <v>2075</v>
      </c>
      <c r="J66" t="s">
        <v>2076</v>
      </c>
      <c r="K66" t="s">
        <v>2547</v>
      </c>
    </row>
    <row r="67" spans="4:11">
      <c r="D67" t="s">
        <v>2548</v>
      </c>
      <c r="F67" t="s">
        <v>2074</v>
      </c>
      <c r="G67">
        <v>0</v>
      </c>
      <c r="I67" t="s">
        <v>2075</v>
      </c>
      <c r="J67" t="s">
        <v>2076</v>
      </c>
      <c r="K67" t="s">
        <v>2549</v>
      </c>
    </row>
    <row r="68" spans="4:11">
      <c r="D68" t="s">
        <v>2550</v>
      </c>
      <c r="F68" t="s">
        <v>2074</v>
      </c>
      <c r="G68">
        <v>0</v>
      </c>
      <c r="I68" t="s">
        <v>2075</v>
      </c>
      <c r="J68" t="s">
        <v>2076</v>
      </c>
      <c r="K68" t="s">
        <v>2551</v>
      </c>
    </row>
    <row r="69" spans="4:11">
      <c r="D69" t="s">
        <v>2552</v>
      </c>
      <c r="F69" t="s">
        <v>2074</v>
      </c>
      <c r="G69">
        <v>0</v>
      </c>
      <c r="I69" t="s">
        <v>2075</v>
      </c>
      <c r="J69" t="s">
        <v>2076</v>
      </c>
      <c r="K69" t="s">
        <v>2553</v>
      </c>
    </row>
    <row r="70" spans="4:11">
      <c r="D70" t="s">
        <v>2554</v>
      </c>
      <c r="F70" t="s">
        <v>2074</v>
      </c>
      <c r="G70">
        <v>0</v>
      </c>
      <c r="I70" t="s">
        <v>2075</v>
      </c>
      <c r="J70" t="s">
        <v>2076</v>
      </c>
      <c r="K70" t="s">
        <v>2555</v>
      </c>
    </row>
    <row r="71" spans="4:11">
      <c r="D71" t="s">
        <v>2556</v>
      </c>
      <c r="F71" t="s">
        <v>2074</v>
      </c>
      <c r="G71">
        <v>0</v>
      </c>
      <c r="I71" t="s">
        <v>2075</v>
      </c>
      <c r="J71" t="s">
        <v>2076</v>
      </c>
      <c r="K71" t="s">
        <v>2557</v>
      </c>
    </row>
    <row r="72" spans="4:11">
      <c r="D72" t="s">
        <v>2558</v>
      </c>
      <c r="F72" t="s">
        <v>2074</v>
      </c>
      <c r="G72">
        <v>0</v>
      </c>
      <c r="I72" t="s">
        <v>2075</v>
      </c>
      <c r="J72" t="s">
        <v>2076</v>
      </c>
      <c r="K72" t="s">
        <v>2559</v>
      </c>
    </row>
    <row r="73" spans="4:11">
      <c r="D73" t="s">
        <v>2560</v>
      </c>
      <c r="F73" t="s">
        <v>2074</v>
      </c>
      <c r="G73">
        <v>0</v>
      </c>
      <c r="I73" t="s">
        <v>2075</v>
      </c>
      <c r="J73" t="s">
        <v>2076</v>
      </c>
      <c r="K73" t="s">
        <v>2561</v>
      </c>
    </row>
    <row r="74" spans="4:11">
      <c r="D74" t="s">
        <v>2562</v>
      </c>
      <c r="F74" t="s">
        <v>2074</v>
      </c>
      <c r="G74">
        <v>0</v>
      </c>
      <c r="I74" t="s">
        <v>2075</v>
      </c>
      <c r="J74" t="s">
        <v>2076</v>
      </c>
      <c r="K74" t="s">
        <v>2563</v>
      </c>
    </row>
    <row r="75" spans="4:11">
      <c r="D75" t="s">
        <v>2564</v>
      </c>
      <c r="F75" t="s">
        <v>2074</v>
      </c>
      <c r="G75">
        <v>0</v>
      </c>
      <c r="I75" t="s">
        <v>2075</v>
      </c>
      <c r="J75" t="s">
        <v>2076</v>
      </c>
      <c r="K75" t="s">
        <v>2565</v>
      </c>
    </row>
    <row r="76" spans="4:11">
      <c r="D76" t="s">
        <v>2566</v>
      </c>
      <c r="F76" t="s">
        <v>2074</v>
      </c>
      <c r="G76">
        <v>0</v>
      </c>
      <c r="I76" t="s">
        <v>2075</v>
      </c>
      <c r="J76" t="s">
        <v>2076</v>
      </c>
      <c r="K76" t="s">
        <v>2567</v>
      </c>
    </row>
    <row r="77" spans="4:11">
      <c r="D77" t="s">
        <v>2568</v>
      </c>
      <c r="F77" t="s">
        <v>2074</v>
      </c>
      <c r="G77">
        <v>0</v>
      </c>
      <c r="I77" t="s">
        <v>2075</v>
      </c>
      <c r="J77" t="s">
        <v>2076</v>
      </c>
      <c r="K77" t="s">
        <v>2569</v>
      </c>
    </row>
    <row r="78" spans="4:11">
      <c r="D78" t="s">
        <v>2570</v>
      </c>
      <c r="F78" t="s">
        <v>2074</v>
      </c>
      <c r="G78">
        <v>0</v>
      </c>
      <c r="I78" t="s">
        <v>2075</v>
      </c>
      <c r="J78" t="s">
        <v>2076</v>
      </c>
      <c r="K78" t="s">
        <v>2571</v>
      </c>
    </row>
    <row r="79" spans="4:11">
      <c r="D79" t="s">
        <v>2572</v>
      </c>
      <c r="F79" t="s">
        <v>2074</v>
      </c>
      <c r="G79">
        <v>0</v>
      </c>
      <c r="I79" t="s">
        <v>2075</v>
      </c>
      <c r="J79" t="s">
        <v>2076</v>
      </c>
      <c r="K79" t="s">
        <v>2573</v>
      </c>
    </row>
    <row r="80" spans="4:11">
      <c r="D80" t="s">
        <v>2574</v>
      </c>
      <c r="F80" t="s">
        <v>2074</v>
      </c>
      <c r="G80">
        <v>0</v>
      </c>
      <c r="I80" t="s">
        <v>2075</v>
      </c>
      <c r="J80" t="s">
        <v>2076</v>
      </c>
      <c r="K80" t="s">
        <v>2575</v>
      </c>
    </row>
    <row r="81" spans="4:11">
      <c r="D81" t="s">
        <v>2576</v>
      </c>
      <c r="F81" t="s">
        <v>2074</v>
      </c>
      <c r="G81">
        <v>0</v>
      </c>
      <c r="I81" t="s">
        <v>2075</v>
      </c>
      <c r="J81" t="s">
        <v>2076</v>
      </c>
      <c r="K81" t="s">
        <v>2577</v>
      </c>
    </row>
    <row r="82" spans="4:11">
      <c r="D82" t="s">
        <v>2578</v>
      </c>
      <c r="F82" t="s">
        <v>2074</v>
      </c>
      <c r="G82">
        <v>0</v>
      </c>
      <c r="I82" t="s">
        <v>2075</v>
      </c>
      <c r="J82" t="s">
        <v>2076</v>
      </c>
      <c r="K82" t="s">
        <v>2579</v>
      </c>
    </row>
    <row r="83" spans="4:11">
      <c r="D83" t="s">
        <v>2580</v>
      </c>
      <c r="F83" t="s">
        <v>2074</v>
      </c>
      <c r="G83">
        <v>0</v>
      </c>
      <c r="I83" t="s">
        <v>2075</v>
      </c>
      <c r="J83" t="s">
        <v>2076</v>
      </c>
      <c r="K83" t="s">
        <v>2581</v>
      </c>
    </row>
    <row r="84" spans="4:11">
      <c r="D84" t="s">
        <v>2582</v>
      </c>
      <c r="F84" t="s">
        <v>2074</v>
      </c>
      <c r="G84">
        <v>0</v>
      </c>
      <c r="I84" t="s">
        <v>2075</v>
      </c>
      <c r="J84" t="s">
        <v>2076</v>
      </c>
      <c r="K84" t="s">
        <v>2583</v>
      </c>
    </row>
    <row r="85" spans="4:11">
      <c r="D85" t="s">
        <v>2584</v>
      </c>
      <c r="F85" t="s">
        <v>2074</v>
      </c>
      <c r="G85">
        <v>0</v>
      </c>
      <c r="I85" t="s">
        <v>2075</v>
      </c>
      <c r="J85" t="s">
        <v>2076</v>
      </c>
      <c r="K85" t="s">
        <v>2585</v>
      </c>
    </row>
    <row r="86" spans="4:11">
      <c r="D86" t="s">
        <v>2586</v>
      </c>
      <c r="F86" t="s">
        <v>2074</v>
      </c>
      <c r="G86">
        <v>0</v>
      </c>
      <c r="I86" t="s">
        <v>2075</v>
      </c>
      <c r="J86" t="s">
        <v>2076</v>
      </c>
      <c r="K86" t="s">
        <v>2587</v>
      </c>
    </row>
    <row r="87" spans="4:11">
      <c r="D87" t="s">
        <v>1788</v>
      </c>
      <c r="F87" t="s">
        <v>2074</v>
      </c>
      <c r="G87">
        <v>0</v>
      </c>
      <c r="I87" t="s">
        <v>2075</v>
      </c>
      <c r="J87" t="s">
        <v>2076</v>
      </c>
      <c r="K87" t="s">
        <v>2588</v>
      </c>
    </row>
    <row r="88" spans="4:11">
      <c r="D88" t="s">
        <v>1791</v>
      </c>
      <c r="F88" t="s">
        <v>2074</v>
      </c>
      <c r="G88">
        <v>0</v>
      </c>
      <c r="I88" t="s">
        <v>2075</v>
      </c>
      <c r="J88" t="s">
        <v>2076</v>
      </c>
      <c r="K88" t="s">
        <v>2589</v>
      </c>
    </row>
    <row r="89" spans="4:11">
      <c r="D89" t="s">
        <v>1797</v>
      </c>
      <c r="F89" t="s">
        <v>2074</v>
      </c>
      <c r="G89">
        <v>0</v>
      </c>
      <c r="I89" t="s">
        <v>2075</v>
      </c>
      <c r="J89" t="s">
        <v>2076</v>
      </c>
      <c r="K89" t="s">
        <v>2590</v>
      </c>
    </row>
    <row r="90" spans="4:11">
      <c r="D90" t="s">
        <v>1802</v>
      </c>
      <c r="F90" t="s">
        <v>2074</v>
      </c>
      <c r="G90">
        <v>0</v>
      </c>
      <c r="I90" t="s">
        <v>2075</v>
      </c>
      <c r="J90" t="s">
        <v>2076</v>
      </c>
      <c r="K90" t="s">
        <v>2591</v>
      </c>
    </row>
    <row r="91" spans="4:11">
      <c r="D91" t="s">
        <v>2592</v>
      </c>
      <c r="F91" t="s">
        <v>2074</v>
      </c>
      <c r="G91">
        <v>0</v>
      </c>
      <c r="I91" t="s">
        <v>2075</v>
      </c>
      <c r="J91" t="s">
        <v>2076</v>
      </c>
      <c r="K91" t="s">
        <v>2593</v>
      </c>
    </row>
    <row r="92" spans="4:11">
      <c r="D92" t="s">
        <v>2594</v>
      </c>
      <c r="F92" t="s">
        <v>2074</v>
      </c>
      <c r="G92">
        <v>0</v>
      </c>
      <c r="I92" t="s">
        <v>2075</v>
      </c>
      <c r="J92" t="s">
        <v>2076</v>
      </c>
      <c r="K92" t="s">
        <v>2595</v>
      </c>
    </row>
    <row r="93" spans="4:11">
      <c r="D93" t="s">
        <v>2596</v>
      </c>
      <c r="F93" t="s">
        <v>2074</v>
      </c>
      <c r="G93">
        <v>0</v>
      </c>
      <c r="I93" t="s">
        <v>2075</v>
      </c>
      <c r="J93" t="s">
        <v>2076</v>
      </c>
      <c r="K93" t="s">
        <v>2597</v>
      </c>
    </row>
    <row r="94" spans="4:11">
      <c r="D94" t="s">
        <v>1818</v>
      </c>
      <c r="F94" t="s">
        <v>2074</v>
      </c>
      <c r="G94">
        <v>0</v>
      </c>
      <c r="I94" t="s">
        <v>2075</v>
      </c>
      <c r="J94" t="s">
        <v>2076</v>
      </c>
      <c r="K94" t="s">
        <v>2598</v>
      </c>
    </row>
    <row r="95" spans="4:11">
      <c r="D95" t="s">
        <v>1821</v>
      </c>
      <c r="F95" t="s">
        <v>2074</v>
      </c>
      <c r="G95">
        <v>0</v>
      </c>
      <c r="I95" t="s">
        <v>2075</v>
      </c>
      <c r="J95" t="s">
        <v>2076</v>
      </c>
      <c r="K95" t="s">
        <v>2599</v>
      </c>
    </row>
    <row r="96" spans="4:11">
      <c r="D96" t="s">
        <v>2600</v>
      </c>
      <c r="F96" t="s">
        <v>2074</v>
      </c>
      <c r="G96">
        <v>0</v>
      </c>
      <c r="I96" t="s">
        <v>2075</v>
      </c>
      <c r="J96" t="s">
        <v>2076</v>
      </c>
      <c r="K96" t="s">
        <v>2601</v>
      </c>
    </row>
    <row r="97" spans="4:11">
      <c r="D97" t="s">
        <v>2602</v>
      </c>
      <c r="F97" t="s">
        <v>2074</v>
      </c>
      <c r="G97">
        <v>0</v>
      </c>
      <c r="I97" t="s">
        <v>2075</v>
      </c>
      <c r="J97" t="s">
        <v>2076</v>
      </c>
      <c r="K97" t="s">
        <v>2603</v>
      </c>
    </row>
    <row r="98" spans="4:11">
      <c r="D98" t="s">
        <v>2604</v>
      </c>
      <c r="F98" t="s">
        <v>2074</v>
      </c>
      <c r="G98">
        <v>0</v>
      </c>
      <c r="I98" t="s">
        <v>2075</v>
      </c>
      <c r="J98" t="s">
        <v>2076</v>
      </c>
      <c r="K98" t="s">
        <v>2605</v>
      </c>
    </row>
    <row r="99" spans="4:11">
      <c r="D99" t="s">
        <v>1843</v>
      </c>
      <c r="F99" t="s">
        <v>2074</v>
      </c>
      <c r="G99">
        <v>0</v>
      </c>
      <c r="I99" t="s">
        <v>2075</v>
      </c>
      <c r="J99" t="s">
        <v>2076</v>
      </c>
      <c r="K99" t="s">
        <v>2606</v>
      </c>
    </row>
    <row r="100" spans="4:11">
      <c r="D100" t="s">
        <v>1846</v>
      </c>
      <c r="F100" t="s">
        <v>2074</v>
      </c>
      <c r="G100">
        <v>0</v>
      </c>
      <c r="I100" t="s">
        <v>2075</v>
      </c>
      <c r="J100" t="s">
        <v>2076</v>
      </c>
      <c r="K100" t="s">
        <v>2607</v>
      </c>
    </row>
    <row r="101" spans="4:11">
      <c r="D101" t="s">
        <v>2608</v>
      </c>
      <c r="F101" t="s">
        <v>2074</v>
      </c>
      <c r="G101">
        <v>0</v>
      </c>
      <c r="I101" t="s">
        <v>2075</v>
      </c>
      <c r="J101" t="s">
        <v>2076</v>
      </c>
      <c r="K101" t="s">
        <v>2609</v>
      </c>
    </row>
    <row r="102" spans="4:11">
      <c r="D102" t="s">
        <v>2610</v>
      </c>
      <c r="F102" t="s">
        <v>2074</v>
      </c>
      <c r="G102">
        <v>0</v>
      </c>
      <c r="I102" t="s">
        <v>2075</v>
      </c>
      <c r="J102" t="s">
        <v>2076</v>
      </c>
      <c r="K102" t="s">
        <v>2611</v>
      </c>
    </row>
    <row r="103" spans="4:11">
      <c r="D103" t="s">
        <v>2612</v>
      </c>
      <c r="F103" t="s">
        <v>2074</v>
      </c>
      <c r="G103">
        <v>0</v>
      </c>
      <c r="I103" t="s">
        <v>2075</v>
      </c>
      <c r="J103" t="s">
        <v>2076</v>
      </c>
      <c r="K103" t="s">
        <v>2613</v>
      </c>
    </row>
    <row r="104" spans="4:11">
      <c r="D104" t="s">
        <v>2614</v>
      </c>
      <c r="F104" t="s">
        <v>2074</v>
      </c>
      <c r="G104">
        <v>0</v>
      </c>
      <c r="I104" t="s">
        <v>2075</v>
      </c>
      <c r="J104" t="s">
        <v>2076</v>
      </c>
      <c r="K104" t="s">
        <v>2615</v>
      </c>
    </row>
    <row r="105" spans="4:11">
      <c r="D105" t="s">
        <v>2616</v>
      </c>
      <c r="F105" t="s">
        <v>2074</v>
      </c>
      <c r="G105">
        <v>0</v>
      </c>
      <c r="I105" t="s">
        <v>2075</v>
      </c>
      <c r="J105" t="s">
        <v>2076</v>
      </c>
      <c r="K105" t="s">
        <v>2617</v>
      </c>
    </row>
    <row r="106" spans="4:11">
      <c r="D106" t="s">
        <v>1874</v>
      </c>
      <c r="F106" t="s">
        <v>2074</v>
      </c>
      <c r="G106">
        <v>0</v>
      </c>
      <c r="I106" t="s">
        <v>2075</v>
      </c>
      <c r="J106" t="s">
        <v>2076</v>
      </c>
      <c r="K106" t="s">
        <v>2618</v>
      </c>
    </row>
    <row r="107" spans="4:11">
      <c r="D107" t="s">
        <v>2619</v>
      </c>
      <c r="F107" t="s">
        <v>2074</v>
      </c>
      <c r="G107">
        <v>0</v>
      </c>
      <c r="I107" t="s">
        <v>2075</v>
      </c>
      <c r="J107" t="s">
        <v>2076</v>
      </c>
      <c r="K107" t="s">
        <v>2620</v>
      </c>
    </row>
    <row r="108" spans="4:11">
      <c r="D108" t="s">
        <v>2621</v>
      </c>
      <c r="F108" t="s">
        <v>2074</v>
      </c>
      <c r="G108">
        <v>0</v>
      </c>
      <c r="I108" t="s">
        <v>2075</v>
      </c>
      <c r="J108" t="s">
        <v>2076</v>
      </c>
      <c r="K108" t="s">
        <v>2622</v>
      </c>
    </row>
    <row r="109" spans="4:11">
      <c r="D109" t="s">
        <v>2623</v>
      </c>
      <c r="F109" t="s">
        <v>2074</v>
      </c>
      <c r="G109">
        <v>0</v>
      </c>
      <c r="I109" t="s">
        <v>2075</v>
      </c>
      <c r="J109" t="s">
        <v>2076</v>
      </c>
      <c r="K109" t="s">
        <v>2624</v>
      </c>
    </row>
    <row r="110" spans="4:11">
      <c r="D110" t="s">
        <v>2625</v>
      </c>
      <c r="F110" t="s">
        <v>2074</v>
      </c>
      <c r="G110">
        <v>0</v>
      </c>
      <c r="I110" t="s">
        <v>2075</v>
      </c>
      <c r="J110" t="s">
        <v>2076</v>
      </c>
      <c r="K110" t="s">
        <v>2626</v>
      </c>
    </row>
    <row r="111" spans="4:11">
      <c r="D111" t="s">
        <v>1897</v>
      </c>
      <c r="F111" t="s">
        <v>2074</v>
      </c>
      <c r="G111">
        <v>0</v>
      </c>
      <c r="I111" t="s">
        <v>2075</v>
      </c>
      <c r="J111" t="s">
        <v>2076</v>
      </c>
      <c r="K111" t="s">
        <v>2627</v>
      </c>
    </row>
    <row r="112" spans="4:11">
      <c r="D112" t="s">
        <v>1901</v>
      </c>
      <c r="F112" t="s">
        <v>2074</v>
      </c>
      <c r="G112">
        <v>0</v>
      </c>
      <c r="I112" t="s">
        <v>2075</v>
      </c>
      <c r="J112" t="s">
        <v>2076</v>
      </c>
      <c r="K112" t="s">
        <v>2628</v>
      </c>
    </row>
    <row r="113" spans="4:11">
      <c r="D113" t="s">
        <v>1906</v>
      </c>
      <c r="F113" t="s">
        <v>2074</v>
      </c>
      <c r="G113">
        <v>0</v>
      </c>
      <c r="I113" t="s">
        <v>2075</v>
      </c>
      <c r="J113" t="s">
        <v>2076</v>
      </c>
      <c r="K113" t="s">
        <v>2629</v>
      </c>
    </row>
    <row r="114" spans="4:11">
      <c r="D114" t="s">
        <v>2630</v>
      </c>
      <c r="F114" t="s">
        <v>2074</v>
      </c>
      <c r="G114">
        <v>0</v>
      </c>
      <c r="I114" t="s">
        <v>2075</v>
      </c>
      <c r="J114" t="s">
        <v>2076</v>
      </c>
      <c r="K114" t="s">
        <v>2631</v>
      </c>
    </row>
    <row r="115" spans="4:11">
      <c r="D115" t="s">
        <v>2632</v>
      </c>
      <c r="F115" t="s">
        <v>2074</v>
      </c>
      <c r="G115">
        <v>0</v>
      </c>
      <c r="I115" t="s">
        <v>2075</v>
      </c>
      <c r="J115" t="s">
        <v>2076</v>
      </c>
      <c r="K115" t="s">
        <v>2633</v>
      </c>
    </row>
    <row r="116" spans="4:11">
      <c r="D116" t="s">
        <v>2634</v>
      </c>
      <c r="F116" t="s">
        <v>2074</v>
      </c>
      <c r="G116">
        <v>0</v>
      </c>
      <c r="I116" t="s">
        <v>2075</v>
      </c>
      <c r="J116" t="s">
        <v>2076</v>
      </c>
      <c r="K116" t="s">
        <v>2635</v>
      </c>
    </row>
    <row r="117" spans="4:11">
      <c r="D117" t="s">
        <v>2636</v>
      </c>
      <c r="F117" t="s">
        <v>2074</v>
      </c>
      <c r="G117">
        <v>0</v>
      </c>
      <c r="I117" t="s">
        <v>2075</v>
      </c>
      <c r="J117" t="s">
        <v>2076</v>
      </c>
      <c r="K117" t="s">
        <v>2637</v>
      </c>
    </row>
    <row r="118" spans="4:11">
      <c r="D118" t="s">
        <v>2638</v>
      </c>
      <c r="F118" t="s">
        <v>2074</v>
      </c>
      <c r="G118">
        <v>0</v>
      </c>
      <c r="I118" t="s">
        <v>2075</v>
      </c>
      <c r="J118" t="s">
        <v>2076</v>
      </c>
      <c r="K118" t="s">
        <v>2639</v>
      </c>
    </row>
    <row r="119" spans="4:11">
      <c r="D119" t="s">
        <v>2640</v>
      </c>
      <c r="F119" t="s">
        <v>2074</v>
      </c>
      <c r="G119">
        <v>0</v>
      </c>
      <c r="I119" t="s">
        <v>2075</v>
      </c>
      <c r="J119" t="s">
        <v>2076</v>
      </c>
      <c r="K119" t="s">
        <v>2641</v>
      </c>
    </row>
    <row r="120" spans="4:11">
      <c r="D120" t="s">
        <v>2642</v>
      </c>
      <c r="F120" t="s">
        <v>2074</v>
      </c>
      <c r="G120">
        <v>0</v>
      </c>
      <c r="I120" t="s">
        <v>2075</v>
      </c>
      <c r="J120" t="s">
        <v>2076</v>
      </c>
      <c r="K120" t="s">
        <v>2643</v>
      </c>
    </row>
    <row r="121" spans="4:11">
      <c r="D121" t="s">
        <v>2644</v>
      </c>
      <c r="F121" t="s">
        <v>2074</v>
      </c>
      <c r="G121">
        <v>0</v>
      </c>
      <c r="I121" t="s">
        <v>2075</v>
      </c>
      <c r="J121" t="s">
        <v>2076</v>
      </c>
      <c r="K121" t="s">
        <v>2645</v>
      </c>
    </row>
    <row r="122" spans="4:11">
      <c r="D122" t="s">
        <v>2646</v>
      </c>
      <c r="F122" t="s">
        <v>2074</v>
      </c>
      <c r="G122">
        <v>0</v>
      </c>
      <c r="I122" t="s">
        <v>2075</v>
      </c>
      <c r="J122" t="s">
        <v>2076</v>
      </c>
      <c r="K122" t="s">
        <v>2647</v>
      </c>
    </row>
    <row r="123" spans="4:11">
      <c r="D123" t="s">
        <v>1960</v>
      </c>
      <c r="F123" t="s">
        <v>2074</v>
      </c>
      <c r="G123">
        <v>0</v>
      </c>
      <c r="I123" t="s">
        <v>2075</v>
      </c>
      <c r="J123" t="s">
        <v>2076</v>
      </c>
      <c r="K123" t="s">
        <v>2648</v>
      </c>
    </row>
    <row r="124" spans="4:11">
      <c r="D124" t="s">
        <v>2649</v>
      </c>
      <c r="F124" t="s">
        <v>2074</v>
      </c>
      <c r="G124">
        <v>0</v>
      </c>
      <c r="I124" t="s">
        <v>2075</v>
      </c>
      <c r="J124" t="s">
        <v>2076</v>
      </c>
      <c r="K124" t="s">
        <v>2650</v>
      </c>
    </row>
    <row r="125" spans="4:11">
      <c r="D125" t="s">
        <v>1972</v>
      </c>
      <c r="F125" t="s">
        <v>2074</v>
      </c>
      <c r="G125">
        <v>0</v>
      </c>
      <c r="I125" t="s">
        <v>2075</v>
      </c>
      <c r="J125" t="s">
        <v>2076</v>
      </c>
      <c r="K125" t="s">
        <v>2651</v>
      </c>
    </row>
    <row r="126" spans="4:11">
      <c r="D126" t="s">
        <v>1978</v>
      </c>
      <c r="F126" t="s">
        <v>2074</v>
      </c>
      <c r="G126">
        <v>0</v>
      </c>
      <c r="I126" t="s">
        <v>2075</v>
      </c>
      <c r="J126" t="s">
        <v>2076</v>
      </c>
      <c r="K126" t="s">
        <v>2652</v>
      </c>
    </row>
    <row r="127" spans="4:11">
      <c r="D127" t="s">
        <v>1984</v>
      </c>
      <c r="F127" t="s">
        <v>2074</v>
      </c>
      <c r="G127">
        <v>0</v>
      </c>
      <c r="I127" t="s">
        <v>2075</v>
      </c>
      <c r="J127" t="s">
        <v>2076</v>
      </c>
      <c r="K127" t="s">
        <v>2653</v>
      </c>
    </row>
    <row r="128" spans="4:11">
      <c r="D128" t="s">
        <v>1990</v>
      </c>
      <c r="F128" t="s">
        <v>2074</v>
      </c>
      <c r="G128">
        <v>0</v>
      </c>
      <c r="I128" t="s">
        <v>2075</v>
      </c>
      <c r="J128" t="s">
        <v>2076</v>
      </c>
      <c r="K128" t="s">
        <v>2654</v>
      </c>
    </row>
    <row r="129" spans="4:11">
      <c r="D129" t="s">
        <v>2655</v>
      </c>
      <c r="F129" t="s">
        <v>2074</v>
      </c>
      <c r="G129">
        <v>0</v>
      </c>
      <c r="I129" t="s">
        <v>2075</v>
      </c>
      <c r="J129" t="s">
        <v>2076</v>
      </c>
      <c r="K129" t="s">
        <v>2656</v>
      </c>
    </row>
    <row r="130" spans="4:11">
      <c r="D130" t="s">
        <v>2657</v>
      </c>
      <c r="F130" t="s">
        <v>2074</v>
      </c>
      <c r="G130">
        <v>0</v>
      </c>
      <c r="I130" t="s">
        <v>2075</v>
      </c>
      <c r="J130" t="s">
        <v>2076</v>
      </c>
      <c r="K130" t="s">
        <v>2658</v>
      </c>
    </row>
    <row r="131" spans="4:11">
      <c r="D131" t="s">
        <v>2008</v>
      </c>
      <c r="F131" t="s">
        <v>2074</v>
      </c>
      <c r="G131">
        <v>0</v>
      </c>
      <c r="I131" t="s">
        <v>2075</v>
      </c>
      <c r="J131" t="s">
        <v>2076</v>
      </c>
      <c r="K131" t="s">
        <v>2659</v>
      </c>
    </row>
    <row r="132" spans="4:11">
      <c r="D132" t="s">
        <v>2660</v>
      </c>
      <c r="F132" t="s">
        <v>2074</v>
      </c>
      <c r="G132">
        <v>0</v>
      </c>
      <c r="I132" t="s">
        <v>2075</v>
      </c>
      <c r="J132" t="s">
        <v>2076</v>
      </c>
      <c r="K132" t="s">
        <v>2661</v>
      </c>
    </row>
    <row r="133" spans="4:11">
      <c r="D133" t="s">
        <v>2662</v>
      </c>
      <c r="F133" t="s">
        <v>2074</v>
      </c>
      <c r="G133">
        <v>0</v>
      </c>
      <c r="I133" t="s">
        <v>2075</v>
      </c>
      <c r="J133" t="s">
        <v>2076</v>
      </c>
      <c r="K133" t="s">
        <v>2663</v>
      </c>
    </row>
    <row r="134" spans="4:11">
      <c r="D134" t="s">
        <v>2664</v>
      </c>
      <c r="F134" t="s">
        <v>2074</v>
      </c>
      <c r="G134">
        <v>0</v>
      </c>
      <c r="I134" t="s">
        <v>2075</v>
      </c>
      <c r="J134" t="s">
        <v>2076</v>
      </c>
      <c r="K134" t="s">
        <v>2665</v>
      </c>
    </row>
    <row r="135" spans="4:11">
      <c r="D135" t="s">
        <v>2666</v>
      </c>
      <c r="F135" t="s">
        <v>2074</v>
      </c>
      <c r="G135">
        <v>0</v>
      </c>
      <c r="I135" t="s">
        <v>2075</v>
      </c>
      <c r="J135" t="s">
        <v>2076</v>
      </c>
      <c r="K135" t="s">
        <v>2667</v>
      </c>
    </row>
    <row r="136" spans="4:11">
      <c r="D136" t="s">
        <v>2668</v>
      </c>
      <c r="F136" t="s">
        <v>2074</v>
      </c>
      <c r="G136">
        <v>0</v>
      </c>
      <c r="I136" t="s">
        <v>2075</v>
      </c>
      <c r="J136" t="s">
        <v>2076</v>
      </c>
      <c r="K136" t="s">
        <v>2669</v>
      </c>
    </row>
    <row r="137" spans="4:11">
      <c r="D137" t="s">
        <v>2670</v>
      </c>
      <c r="F137" t="s">
        <v>2074</v>
      </c>
      <c r="G137">
        <v>0</v>
      </c>
      <c r="I137" t="s">
        <v>2075</v>
      </c>
      <c r="J137" t="s">
        <v>2076</v>
      </c>
      <c r="K137" t="s">
        <v>2671</v>
      </c>
    </row>
    <row r="138" spans="4:11">
      <c r="D138" t="s">
        <v>2672</v>
      </c>
      <c r="F138" t="s">
        <v>2074</v>
      </c>
      <c r="G138">
        <v>0</v>
      </c>
      <c r="I138" t="s">
        <v>2075</v>
      </c>
      <c r="J138" t="s">
        <v>2076</v>
      </c>
      <c r="K138" t="s">
        <v>2673</v>
      </c>
    </row>
    <row r="139" spans="4:11">
      <c r="D139" t="s">
        <v>2674</v>
      </c>
      <c r="F139" t="s">
        <v>2074</v>
      </c>
      <c r="G139">
        <v>0</v>
      </c>
      <c r="I139" t="s">
        <v>2075</v>
      </c>
      <c r="J139" t="s">
        <v>2076</v>
      </c>
      <c r="K139" t="s">
        <v>2675</v>
      </c>
    </row>
    <row r="140" spans="4:11">
      <c r="D140" t="s">
        <v>2676</v>
      </c>
      <c r="F140" t="s">
        <v>2074</v>
      </c>
      <c r="G140">
        <v>0</v>
      </c>
      <c r="I140" t="s">
        <v>2075</v>
      </c>
      <c r="J140" t="s">
        <v>2076</v>
      </c>
      <c r="K140" t="s">
        <v>2677</v>
      </c>
    </row>
    <row r="141" spans="4:11">
      <c r="D141" t="s">
        <v>2678</v>
      </c>
      <c r="F141" t="s">
        <v>2074</v>
      </c>
      <c r="G141">
        <v>0</v>
      </c>
      <c r="I141" t="s">
        <v>2075</v>
      </c>
      <c r="J141" t="s">
        <v>2076</v>
      </c>
      <c r="K141" t="s">
        <v>2679</v>
      </c>
    </row>
    <row r="142" spans="4:11">
      <c r="D142" t="s">
        <v>2680</v>
      </c>
      <c r="F142" t="s">
        <v>2074</v>
      </c>
      <c r="G142">
        <v>0</v>
      </c>
      <c r="I142" t="s">
        <v>2075</v>
      </c>
      <c r="J142" t="s">
        <v>2076</v>
      </c>
      <c r="K142" t="s">
        <v>2681</v>
      </c>
    </row>
    <row r="143" spans="4:11">
      <c r="D143" t="s">
        <v>2029</v>
      </c>
      <c r="F143" t="s">
        <v>2074</v>
      </c>
      <c r="G143">
        <v>0</v>
      </c>
      <c r="I143" t="s">
        <v>2075</v>
      </c>
      <c r="J143" t="s">
        <v>2076</v>
      </c>
      <c r="K143" t="s">
        <v>2682</v>
      </c>
    </row>
    <row r="144" spans="4:11">
      <c r="D144" t="s">
        <v>2035</v>
      </c>
      <c r="F144" t="s">
        <v>2074</v>
      </c>
      <c r="G144">
        <v>0</v>
      </c>
      <c r="I144" t="s">
        <v>2075</v>
      </c>
      <c r="J144" t="s">
        <v>2076</v>
      </c>
      <c r="K144" t="s">
        <v>2683</v>
      </c>
    </row>
    <row r="145" spans="4:11">
      <c r="D145" t="s">
        <v>2684</v>
      </c>
      <c r="F145" t="s">
        <v>2074</v>
      </c>
      <c r="G145">
        <v>0</v>
      </c>
      <c r="I145" t="s">
        <v>2075</v>
      </c>
      <c r="J145" t="s">
        <v>2076</v>
      </c>
      <c r="K145" t="s">
        <v>2685</v>
      </c>
    </row>
    <row r="146" spans="4:11">
      <c r="D146" t="s">
        <v>2037</v>
      </c>
      <c r="F146" t="s">
        <v>2074</v>
      </c>
      <c r="G146">
        <v>0</v>
      </c>
      <c r="I146" t="s">
        <v>2075</v>
      </c>
      <c r="J146" t="s">
        <v>2076</v>
      </c>
      <c r="K146" t="s">
        <v>2686</v>
      </c>
    </row>
    <row r="147" spans="4:11">
      <c r="D147" t="s">
        <v>2687</v>
      </c>
      <c r="F147" t="s">
        <v>2074</v>
      </c>
      <c r="G147">
        <v>0</v>
      </c>
      <c r="I147" t="s">
        <v>2075</v>
      </c>
      <c r="J147" t="s">
        <v>2076</v>
      </c>
      <c r="K147" t="s">
        <v>2688</v>
      </c>
    </row>
    <row r="148" spans="4:11">
      <c r="D148" t="s">
        <v>2689</v>
      </c>
      <c r="F148" t="s">
        <v>2074</v>
      </c>
      <c r="G148">
        <v>0</v>
      </c>
      <c r="I148" t="s">
        <v>2075</v>
      </c>
      <c r="J148" t="s">
        <v>2076</v>
      </c>
      <c r="K148" t="s">
        <v>2690</v>
      </c>
    </row>
    <row r="149" spans="4:11">
      <c r="D149" t="s">
        <v>2040</v>
      </c>
      <c r="F149" t="s">
        <v>2074</v>
      </c>
      <c r="G149">
        <v>0</v>
      </c>
      <c r="I149" t="s">
        <v>2075</v>
      </c>
      <c r="J149" t="s">
        <v>2076</v>
      </c>
      <c r="K149" t="s">
        <v>2691</v>
      </c>
    </row>
    <row r="150" spans="4:11">
      <c r="D150" t="s">
        <v>2692</v>
      </c>
      <c r="F150" t="s">
        <v>2074</v>
      </c>
      <c r="G150">
        <v>0</v>
      </c>
      <c r="I150" t="s">
        <v>2075</v>
      </c>
      <c r="J150" t="s">
        <v>2076</v>
      </c>
      <c r="K150" t="s">
        <v>2693</v>
      </c>
    </row>
    <row r="151" spans="4:11">
      <c r="D151" t="s">
        <v>2042</v>
      </c>
      <c r="F151" t="s">
        <v>2074</v>
      </c>
      <c r="G151">
        <v>0</v>
      </c>
      <c r="I151" t="s">
        <v>2075</v>
      </c>
      <c r="J151" t="s">
        <v>2076</v>
      </c>
      <c r="K151" t="s">
        <v>2694</v>
      </c>
    </row>
    <row r="152" spans="4:11">
      <c r="D152" t="s">
        <v>2043</v>
      </c>
      <c r="F152" t="s">
        <v>2074</v>
      </c>
      <c r="G152">
        <v>0</v>
      </c>
      <c r="I152" t="s">
        <v>2075</v>
      </c>
      <c r="J152" t="s">
        <v>2076</v>
      </c>
      <c r="K152" t="s">
        <v>2695</v>
      </c>
    </row>
    <row r="153" spans="4:11">
      <c r="D153" t="s">
        <v>2696</v>
      </c>
      <c r="F153" t="s">
        <v>2074</v>
      </c>
      <c r="G153">
        <v>0</v>
      </c>
      <c r="I153" t="s">
        <v>2075</v>
      </c>
      <c r="J153" t="s">
        <v>2076</v>
      </c>
      <c r="K153" t="s">
        <v>2697</v>
      </c>
    </row>
    <row r="154" spans="4:11">
      <c r="D154" t="s">
        <v>2045</v>
      </c>
      <c r="F154" t="s">
        <v>2074</v>
      </c>
      <c r="G154">
        <v>0</v>
      </c>
      <c r="I154" t="s">
        <v>2075</v>
      </c>
      <c r="J154" t="s">
        <v>2076</v>
      </c>
      <c r="K154" t="s">
        <v>2698</v>
      </c>
    </row>
    <row r="155" spans="4:11">
      <c r="D155" t="s">
        <v>2046</v>
      </c>
      <c r="F155" t="s">
        <v>2074</v>
      </c>
      <c r="G155">
        <v>0</v>
      </c>
      <c r="I155" t="s">
        <v>2075</v>
      </c>
      <c r="J155" t="s">
        <v>2076</v>
      </c>
      <c r="K155" t="s">
        <v>2699</v>
      </c>
    </row>
    <row r="156" spans="4:11">
      <c r="D156" t="s">
        <v>2047</v>
      </c>
      <c r="F156" t="s">
        <v>2074</v>
      </c>
      <c r="G156">
        <v>0</v>
      </c>
      <c r="I156" t="s">
        <v>2075</v>
      </c>
      <c r="J156" t="s">
        <v>2076</v>
      </c>
      <c r="K156" t="s">
        <v>2700</v>
      </c>
    </row>
    <row r="157" spans="4:11">
      <c r="D157" t="s">
        <v>2048</v>
      </c>
      <c r="F157" t="s">
        <v>2074</v>
      </c>
      <c r="G157">
        <v>0</v>
      </c>
      <c r="I157" t="s">
        <v>2075</v>
      </c>
      <c r="J157" t="s">
        <v>2076</v>
      </c>
      <c r="K157" t="s">
        <v>2701</v>
      </c>
    </row>
    <row r="158" spans="4:11">
      <c r="D158" t="s">
        <v>2049</v>
      </c>
      <c r="F158" t="s">
        <v>2074</v>
      </c>
      <c r="G158">
        <v>0</v>
      </c>
      <c r="I158" t="s">
        <v>2075</v>
      </c>
      <c r="J158" t="s">
        <v>2076</v>
      </c>
      <c r="K158" t="s">
        <v>2702</v>
      </c>
    </row>
    <row r="159" spans="4:11">
      <c r="D159" t="s">
        <v>2050</v>
      </c>
      <c r="F159" t="s">
        <v>2074</v>
      </c>
      <c r="G159">
        <v>0</v>
      </c>
      <c r="I159" t="s">
        <v>2075</v>
      </c>
      <c r="J159" t="s">
        <v>2076</v>
      </c>
      <c r="K159" t="s">
        <v>2703</v>
      </c>
    </row>
    <row r="160" spans="4:11">
      <c r="D160" t="s">
        <v>2051</v>
      </c>
      <c r="F160" t="s">
        <v>2074</v>
      </c>
      <c r="G160">
        <v>0</v>
      </c>
      <c r="I160" t="s">
        <v>2075</v>
      </c>
      <c r="J160" t="s">
        <v>2076</v>
      </c>
      <c r="K160" t="s">
        <v>2704</v>
      </c>
    </row>
    <row r="161" spans="4:11">
      <c r="D161" t="s">
        <v>2705</v>
      </c>
      <c r="F161" t="s">
        <v>2074</v>
      </c>
      <c r="G161">
        <v>0</v>
      </c>
      <c r="I161" t="s">
        <v>2075</v>
      </c>
      <c r="J161" t="s">
        <v>2076</v>
      </c>
      <c r="K161" t="s">
        <v>2706</v>
      </c>
    </row>
    <row r="162" spans="4:11">
      <c r="D162" t="s">
        <v>2707</v>
      </c>
      <c r="F162" t="s">
        <v>2074</v>
      </c>
      <c r="G162">
        <v>0</v>
      </c>
      <c r="I162" t="s">
        <v>2075</v>
      </c>
      <c r="J162" t="s">
        <v>2076</v>
      </c>
      <c r="K162" t="s">
        <v>2708</v>
      </c>
    </row>
    <row r="163" spans="4:11">
      <c r="D163" t="s">
        <v>2709</v>
      </c>
      <c r="F163" t="s">
        <v>2074</v>
      </c>
      <c r="G163">
        <v>0</v>
      </c>
      <c r="I163" t="s">
        <v>2075</v>
      </c>
      <c r="J163" t="s">
        <v>2076</v>
      </c>
      <c r="K163" t="s">
        <v>2710</v>
      </c>
    </row>
    <row r="164" spans="4:11">
      <c r="D164" t="s">
        <v>2711</v>
      </c>
      <c r="F164" t="s">
        <v>2074</v>
      </c>
      <c r="G164">
        <v>0</v>
      </c>
      <c r="I164" t="s">
        <v>2075</v>
      </c>
      <c r="J164" t="s">
        <v>2076</v>
      </c>
      <c r="K164" t="s">
        <v>2712</v>
      </c>
    </row>
    <row r="165" spans="4:11">
      <c r="D165" t="s">
        <v>2713</v>
      </c>
      <c r="F165" t="s">
        <v>2074</v>
      </c>
      <c r="G165">
        <v>0</v>
      </c>
      <c r="I165" t="s">
        <v>2075</v>
      </c>
      <c r="J165" t="s">
        <v>2076</v>
      </c>
      <c r="K165" t="s">
        <v>2714</v>
      </c>
    </row>
    <row r="166" spans="4:11">
      <c r="D166" t="s">
        <v>2715</v>
      </c>
      <c r="F166" t="s">
        <v>2074</v>
      </c>
      <c r="G166">
        <v>0</v>
      </c>
      <c r="I166" t="s">
        <v>2075</v>
      </c>
      <c r="J166" t="s">
        <v>2076</v>
      </c>
      <c r="K166" t="s">
        <v>2716</v>
      </c>
    </row>
    <row r="167" spans="4:11">
      <c r="D167" t="s">
        <v>2717</v>
      </c>
      <c r="F167" t="s">
        <v>2074</v>
      </c>
      <c r="G167">
        <v>0</v>
      </c>
      <c r="I167" t="s">
        <v>2075</v>
      </c>
      <c r="J167" t="s">
        <v>2076</v>
      </c>
      <c r="K167" t="s">
        <v>2718</v>
      </c>
    </row>
    <row r="168" spans="4:11">
      <c r="D168" t="s">
        <v>2719</v>
      </c>
      <c r="F168" t="s">
        <v>2074</v>
      </c>
      <c r="G168">
        <v>0</v>
      </c>
      <c r="I168" t="s">
        <v>2075</v>
      </c>
      <c r="J168" t="s">
        <v>2076</v>
      </c>
      <c r="K168" t="s">
        <v>2720</v>
      </c>
    </row>
    <row r="169" spans="4:11">
      <c r="D169" t="s">
        <v>2721</v>
      </c>
      <c r="F169" t="s">
        <v>2074</v>
      </c>
      <c r="G169">
        <v>0</v>
      </c>
      <c r="I169" t="s">
        <v>2075</v>
      </c>
      <c r="J169" t="s">
        <v>2076</v>
      </c>
      <c r="K169" t="s">
        <v>2722</v>
      </c>
    </row>
    <row r="170" spans="4:11">
      <c r="D170" t="s">
        <v>2061</v>
      </c>
      <c r="F170" t="s">
        <v>2074</v>
      </c>
      <c r="G170">
        <v>0</v>
      </c>
      <c r="I170" t="s">
        <v>2075</v>
      </c>
      <c r="J170" t="s">
        <v>2076</v>
      </c>
      <c r="K170" t="s">
        <v>2723</v>
      </c>
    </row>
    <row r="171" spans="4:11">
      <c r="D171" t="s">
        <v>2724</v>
      </c>
      <c r="F171" t="s">
        <v>2074</v>
      </c>
      <c r="G171">
        <v>0</v>
      </c>
      <c r="I171" t="s">
        <v>2075</v>
      </c>
      <c r="J171" t="s">
        <v>2076</v>
      </c>
      <c r="K171" t="s">
        <v>2725</v>
      </c>
    </row>
    <row r="172" spans="4:11">
      <c r="D172" t="s">
        <v>2063</v>
      </c>
      <c r="F172" t="s">
        <v>2074</v>
      </c>
      <c r="G172">
        <v>0</v>
      </c>
      <c r="I172" t="s">
        <v>2075</v>
      </c>
      <c r="J172" t="s">
        <v>2076</v>
      </c>
      <c r="K172" t="s">
        <v>2726</v>
      </c>
    </row>
    <row r="173" spans="4:11">
      <c r="D173" t="s">
        <v>2064</v>
      </c>
      <c r="F173" t="s">
        <v>2074</v>
      </c>
      <c r="G173">
        <v>0</v>
      </c>
      <c r="I173" t="s">
        <v>2075</v>
      </c>
      <c r="J173" t="s">
        <v>2076</v>
      </c>
      <c r="K173" t="s">
        <v>2727</v>
      </c>
    </row>
    <row r="174" spans="4:11">
      <c r="D174" t="s">
        <v>2065</v>
      </c>
      <c r="F174" t="s">
        <v>2074</v>
      </c>
      <c r="G174">
        <v>0</v>
      </c>
      <c r="I174" t="s">
        <v>2075</v>
      </c>
      <c r="J174" t="s">
        <v>2076</v>
      </c>
      <c r="K174" t="s">
        <v>2728</v>
      </c>
    </row>
    <row r="175" spans="4:11">
      <c r="D175" t="s">
        <v>2066</v>
      </c>
      <c r="F175" t="s">
        <v>2074</v>
      </c>
      <c r="G175">
        <v>0</v>
      </c>
      <c r="I175" t="s">
        <v>2075</v>
      </c>
      <c r="J175" t="s">
        <v>2076</v>
      </c>
      <c r="K175" t="s">
        <v>2729</v>
      </c>
    </row>
    <row r="176" spans="4:11">
      <c r="D176" t="s">
        <v>2073</v>
      </c>
      <c r="F176" t="s">
        <v>2074</v>
      </c>
      <c r="G176">
        <v>0</v>
      </c>
      <c r="I176" t="s">
        <v>2075</v>
      </c>
      <c r="J176" t="s">
        <v>2076</v>
      </c>
      <c r="K176" t="s">
        <v>2080</v>
      </c>
    </row>
    <row r="177" spans="4:11">
      <c r="D177" t="s">
        <v>2087</v>
      </c>
      <c r="F177" t="s">
        <v>2074</v>
      </c>
      <c r="G177">
        <v>0</v>
      </c>
      <c r="I177" t="s">
        <v>2075</v>
      </c>
      <c r="J177" t="s">
        <v>2076</v>
      </c>
      <c r="K177" t="s">
        <v>2090</v>
      </c>
    </row>
    <row r="178" spans="4:11">
      <c r="D178" t="s">
        <v>2092</v>
      </c>
      <c r="F178" t="s">
        <v>2074</v>
      </c>
      <c r="G178">
        <v>0</v>
      </c>
      <c r="I178" t="s">
        <v>2075</v>
      </c>
      <c r="J178" t="s">
        <v>2076</v>
      </c>
      <c r="K178" t="s">
        <v>2094</v>
      </c>
    </row>
    <row r="179" spans="4:11">
      <c r="D179" t="s">
        <v>2101</v>
      </c>
      <c r="F179" t="s">
        <v>2074</v>
      </c>
      <c r="G179">
        <v>0</v>
      </c>
      <c r="I179" t="s">
        <v>2075</v>
      </c>
      <c r="J179" t="s">
        <v>2076</v>
      </c>
      <c r="K179" t="s">
        <v>2103</v>
      </c>
    </row>
    <row r="180" spans="4:11">
      <c r="D180" t="s">
        <v>2105</v>
      </c>
      <c r="F180" t="s">
        <v>2074</v>
      </c>
      <c r="G180">
        <v>0</v>
      </c>
      <c r="I180" t="s">
        <v>2075</v>
      </c>
      <c r="J180" t="s">
        <v>2076</v>
      </c>
      <c r="K180" t="s">
        <v>2107</v>
      </c>
    </row>
    <row r="181" spans="4:11">
      <c r="D181" t="s">
        <v>2113</v>
      </c>
      <c r="F181" t="s">
        <v>2074</v>
      </c>
      <c r="G181">
        <v>0</v>
      </c>
      <c r="I181" t="s">
        <v>2075</v>
      </c>
      <c r="J181" t="s">
        <v>2076</v>
      </c>
      <c r="K181" t="s">
        <v>2115</v>
      </c>
    </row>
    <row r="182" spans="4:11">
      <c r="D182" t="s">
        <v>2121</v>
      </c>
      <c r="F182" t="s">
        <v>2074</v>
      </c>
      <c r="G182">
        <v>0</v>
      </c>
      <c r="I182" t="s">
        <v>2075</v>
      </c>
      <c r="J182" t="s">
        <v>2076</v>
      </c>
      <c r="K182" t="s">
        <v>2123</v>
      </c>
    </row>
    <row r="183" spans="4:11">
      <c r="D183" t="s">
        <v>2130</v>
      </c>
      <c r="F183" t="s">
        <v>2074</v>
      </c>
      <c r="G183">
        <v>0</v>
      </c>
      <c r="I183" t="s">
        <v>2075</v>
      </c>
      <c r="J183" t="s">
        <v>2076</v>
      </c>
      <c r="K183" t="s">
        <v>2132</v>
      </c>
    </row>
    <row r="184" spans="4:11">
      <c r="D184" t="s">
        <v>2139</v>
      </c>
      <c r="F184" t="s">
        <v>2074</v>
      </c>
      <c r="G184">
        <v>0</v>
      </c>
      <c r="I184" t="s">
        <v>2075</v>
      </c>
      <c r="J184" t="s">
        <v>2076</v>
      </c>
      <c r="K184" t="s">
        <v>2141</v>
      </c>
    </row>
    <row r="185" spans="4:11">
      <c r="D185" t="s">
        <v>2148</v>
      </c>
      <c r="F185" t="s">
        <v>2074</v>
      </c>
      <c r="G185">
        <v>0</v>
      </c>
      <c r="I185" t="s">
        <v>2075</v>
      </c>
      <c r="J185" t="s">
        <v>2076</v>
      </c>
      <c r="K185" t="s">
        <v>2150</v>
      </c>
    </row>
    <row r="186" spans="4:11">
      <c r="D186" t="s">
        <v>2157</v>
      </c>
      <c r="F186" t="s">
        <v>2074</v>
      </c>
      <c r="G186">
        <v>0</v>
      </c>
      <c r="I186" t="s">
        <v>2075</v>
      </c>
      <c r="J186" t="s">
        <v>2076</v>
      </c>
      <c r="K186" t="s">
        <v>2159</v>
      </c>
    </row>
    <row r="187" spans="4:11">
      <c r="D187" t="s">
        <v>2166</v>
      </c>
      <c r="F187" t="s">
        <v>2074</v>
      </c>
      <c r="G187">
        <v>0</v>
      </c>
      <c r="I187" t="s">
        <v>2075</v>
      </c>
      <c r="J187" t="s">
        <v>2076</v>
      </c>
      <c r="K187" t="s">
        <v>2168</v>
      </c>
    </row>
    <row r="188" spans="4:11">
      <c r="D188" t="s">
        <v>2175</v>
      </c>
      <c r="F188" t="s">
        <v>2074</v>
      </c>
      <c r="G188">
        <v>0</v>
      </c>
      <c r="I188" t="s">
        <v>2075</v>
      </c>
      <c r="J188" t="s">
        <v>2076</v>
      </c>
      <c r="K188" t="s">
        <v>2177</v>
      </c>
    </row>
    <row r="189" spans="4:11">
      <c r="D189" t="s">
        <v>2184</v>
      </c>
      <c r="F189" t="s">
        <v>2074</v>
      </c>
      <c r="G189">
        <v>0</v>
      </c>
      <c r="I189" t="s">
        <v>2075</v>
      </c>
      <c r="J189" t="s">
        <v>2076</v>
      </c>
      <c r="K189" t="s">
        <v>2186</v>
      </c>
    </row>
    <row r="190" spans="4:11">
      <c r="D190" t="s">
        <v>2192</v>
      </c>
      <c r="F190" t="s">
        <v>2074</v>
      </c>
      <c r="G190">
        <v>0</v>
      </c>
      <c r="I190" t="s">
        <v>2075</v>
      </c>
      <c r="J190" t="s">
        <v>2076</v>
      </c>
      <c r="K190" t="s">
        <v>2194</v>
      </c>
    </row>
    <row r="191" spans="4:11">
      <c r="D191" t="s">
        <v>2201</v>
      </c>
      <c r="F191" t="s">
        <v>2074</v>
      </c>
      <c r="G191">
        <v>0</v>
      </c>
      <c r="I191" t="s">
        <v>2075</v>
      </c>
      <c r="J191" t="s">
        <v>2076</v>
      </c>
      <c r="K191" t="s">
        <v>2203</v>
      </c>
    </row>
    <row r="192" spans="4:11">
      <c r="D192" t="s">
        <v>2210</v>
      </c>
      <c r="F192" t="s">
        <v>2074</v>
      </c>
      <c r="G192">
        <v>0</v>
      </c>
      <c r="I192" t="s">
        <v>2075</v>
      </c>
      <c r="J192" t="s">
        <v>2076</v>
      </c>
      <c r="K192" t="s">
        <v>2212</v>
      </c>
    </row>
    <row r="193" spans="4:11">
      <c r="D193" t="s">
        <v>2219</v>
      </c>
      <c r="F193" t="s">
        <v>2074</v>
      </c>
      <c r="G193">
        <v>0</v>
      </c>
      <c r="I193" t="s">
        <v>2075</v>
      </c>
      <c r="J193" t="s">
        <v>2076</v>
      </c>
      <c r="K193" t="s">
        <v>2221</v>
      </c>
    </row>
    <row r="194" spans="4:11">
      <c r="D194" t="s">
        <v>2228</v>
      </c>
      <c r="F194" t="s">
        <v>2074</v>
      </c>
      <c r="G194">
        <v>0</v>
      </c>
      <c r="I194" t="s">
        <v>2075</v>
      </c>
      <c r="J194" t="s">
        <v>2076</v>
      </c>
      <c r="K194" t="s">
        <v>2230</v>
      </c>
    </row>
    <row r="195" spans="4:11">
      <c r="D195" t="s">
        <v>2237</v>
      </c>
      <c r="F195" t="s">
        <v>2074</v>
      </c>
      <c r="G195">
        <v>0</v>
      </c>
      <c r="I195" t="s">
        <v>2075</v>
      </c>
      <c r="J195" t="s">
        <v>2076</v>
      </c>
      <c r="K195" t="s">
        <v>2239</v>
      </c>
    </row>
    <row r="196" spans="4:11">
      <c r="D196" t="s">
        <v>2246</v>
      </c>
      <c r="F196" t="s">
        <v>2074</v>
      </c>
      <c r="G196">
        <v>0</v>
      </c>
      <c r="I196" t="s">
        <v>2075</v>
      </c>
      <c r="J196" t="s">
        <v>2076</v>
      </c>
      <c r="K196" t="s">
        <v>2248</v>
      </c>
    </row>
    <row r="197" spans="4:11">
      <c r="D197" t="s">
        <v>2254</v>
      </c>
      <c r="F197" t="s">
        <v>2074</v>
      </c>
      <c r="G197">
        <v>0</v>
      </c>
      <c r="I197" t="s">
        <v>2075</v>
      </c>
      <c r="J197" t="s">
        <v>2076</v>
      </c>
      <c r="K197" t="s">
        <v>2256</v>
      </c>
    </row>
    <row r="198" spans="4:11">
      <c r="D198" t="s">
        <v>2261</v>
      </c>
      <c r="F198" t="s">
        <v>2074</v>
      </c>
      <c r="G198">
        <v>0</v>
      </c>
      <c r="I198" t="s">
        <v>2075</v>
      </c>
      <c r="J198" t="s">
        <v>2076</v>
      </c>
      <c r="K198" t="s">
        <v>2263</v>
      </c>
    </row>
    <row r="199" spans="4:11">
      <c r="D199" t="s">
        <v>2265</v>
      </c>
      <c r="F199" t="s">
        <v>2074</v>
      </c>
      <c r="G199">
        <v>0</v>
      </c>
      <c r="I199" t="s">
        <v>2075</v>
      </c>
      <c r="J199" t="s">
        <v>2076</v>
      </c>
      <c r="K199" t="s">
        <v>2267</v>
      </c>
    </row>
    <row r="200" spans="4:11">
      <c r="D200" t="s">
        <v>2273</v>
      </c>
      <c r="F200" t="s">
        <v>2074</v>
      </c>
      <c r="G200">
        <v>0</v>
      </c>
      <c r="I200" t="s">
        <v>2075</v>
      </c>
      <c r="J200" t="s">
        <v>2076</v>
      </c>
      <c r="K200" t="s">
        <v>2275</v>
      </c>
    </row>
    <row r="201" spans="4:11">
      <c r="D201" t="s">
        <v>2281</v>
      </c>
      <c r="F201" t="s">
        <v>2074</v>
      </c>
      <c r="G201">
        <v>0</v>
      </c>
      <c r="I201" t="s">
        <v>2075</v>
      </c>
      <c r="J201" t="s">
        <v>2076</v>
      </c>
      <c r="K201" t="s">
        <v>2283</v>
      </c>
    </row>
    <row r="202" spans="4:11">
      <c r="D202" t="s">
        <v>2288</v>
      </c>
      <c r="F202" t="s">
        <v>2074</v>
      </c>
      <c r="G202">
        <v>0</v>
      </c>
      <c r="I202" t="s">
        <v>2075</v>
      </c>
      <c r="J202" t="s">
        <v>2076</v>
      </c>
      <c r="K202" t="s">
        <v>2290</v>
      </c>
    </row>
    <row r="203" spans="4:11">
      <c r="D203" t="s">
        <v>2297</v>
      </c>
      <c r="F203" t="s">
        <v>2074</v>
      </c>
      <c r="G203">
        <v>0</v>
      </c>
      <c r="I203" t="s">
        <v>2075</v>
      </c>
      <c r="J203" t="s">
        <v>2076</v>
      </c>
      <c r="K203" t="s">
        <v>2299</v>
      </c>
    </row>
    <row r="204" spans="4:11">
      <c r="D204" t="s">
        <v>2305</v>
      </c>
      <c r="F204" t="s">
        <v>2074</v>
      </c>
      <c r="G204">
        <v>0</v>
      </c>
      <c r="I204" t="s">
        <v>2075</v>
      </c>
      <c r="J204" t="s">
        <v>2076</v>
      </c>
      <c r="K204" t="s">
        <v>2307</v>
      </c>
    </row>
    <row r="205" spans="4:11">
      <c r="D205" t="s">
        <v>2314</v>
      </c>
      <c r="F205" t="s">
        <v>2074</v>
      </c>
      <c r="G205">
        <v>0</v>
      </c>
      <c r="I205" t="s">
        <v>2075</v>
      </c>
      <c r="J205" t="s">
        <v>2076</v>
      </c>
      <c r="K205" t="s">
        <v>2316</v>
      </c>
    </row>
    <row r="206" spans="4:11">
      <c r="D206" t="s">
        <v>2323</v>
      </c>
      <c r="F206" t="s">
        <v>2074</v>
      </c>
      <c r="G206">
        <v>0</v>
      </c>
      <c r="I206" t="s">
        <v>2075</v>
      </c>
      <c r="J206" t="s">
        <v>2076</v>
      </c>
      <c r="K206" t="s">
        <v>2325</v>
      </c>
    </row>
    <row r="207" spans="4:11">
      <c r="D207" t="s">
        <v>2332</v>
      </c>
      <c r="F207" t="s">
        <v>2074</v>
      </c>
      <c r="G207">
        <v>0</v>
      </c>
      <c r="I207" t="s">
        <v>2075</v>
      </c>
      <c r="J207" t="s">
        <v>2076</v>
      </c>
      <c r="K207" t="s">
        <v>2334</v>
      </c>
    </row>
    <row r="208" spans="4:11">
      <c r="D208" t="s">
        <v>2340</v>
      </c>
      <c r="F208" t="s">
        <v>2074</v>
      </c>
      <c r="G208">
        <v>0</v>
      </c>
      <c r="I208" t="s">
        <v>2075</v>
      </c>
      <c r="J208" t="s">
        <v>2076</v>
      </c>
      <c r="K208" t="s">
        <v>2342</v>
      </c>
    </row>
    <row r="209" spans="4:11">
      <c r="D209" t="s">
        <v>2347</v>
      </c>
      <c r="F209" t="s">
        <v>2074</v>
      </c>
      <c r="G209">
        <v>0</v>
      </c>
      <c r="I209" t="s">
        <v>2075</v>
      </c>
      <c r="J209" t="s">
        <v>2076</v>
      </c>
      <c r="K209" t="s">
        <v>2349</v>
      </c>
    </row>
    <row r="210" spans="4:11">
      <c r="D210" t="s">
        <v>2356</v>
      </c>
      <c r="F210" t="s">
        <v>2074</v>
      </c>
      <c r="G210">
        <v>0</v>
      </c>
      <c r="I210" t="s">
        <v>2075</v>
      </c>
      <c r="J210" t="s">
        <v>2076</v>
      </c>
      <c r="K210" t="s">
        <v>2358</v>
      </c>
    </row>
    <row r="211" spans="4:11">
      <c r="D211" t="s">
        <v>2365</v>
      </c>
      <c r="F211" t="s">
        <v>2074</v>
      </c>
      <c r="G211">
        <v>0</v>
      </c>
      <c r="I211" t="s">
        <v>2075</v>
      </c>
      <c r="J211" t="s">
        <v>2076</v>
      </c>
      <c r="K211" t="s">
        <v>2367</v>
      </c>
    </row>
    <row r="212" spans="4:11">
      <c r="D212" t="s">
        <v>2374</v>
      </c>
      <c r="F212" t="s">
        <v>2074</v>
      </c>
      <c r="G212">
        <v>0</v>
      </c>
      <c r="I212" t="s">
        <v>2075</v>
      </c>
      <c r="J212" t="s">
        <v>2076</v>
      </c>
      <c r="K212" t="s">
        <v>2376</v>
      </c>
    </row>
    <row r="213" spans="4:11">
      <c r="D213" t="s">
        <v>2383</v>
      </c>
      <c r="F213" t="s">
        <v>2074</v>
      </c>
      <c r="G213">
        <v>0</v>
      </c>
      <c r="I213" t="s">
        <v>2075</v>
      </c>
      <c r="J213" t="s">
        <v>2076</v>
      </c>
      <c r="K213" t="s">
        <v>2385</v>
      </c>
    </row>
    <row r="214" spans="4:11">
      <c r="D214" t="s">
        <v>2391</v>
      </c>
      <c r="F214" t="s">
        <v>2074</v>
      </c>
      <c r="G214">
        <v>0</v>
      </c>
      <c r="I214" t="s">
        <v>2075</v>
      </c>
      <c r="J214" t="s">
        <v>2076</v>
      </c>
      <c r="K214" t="s">
        <v>2393</v>
      </c>
    </row>
    <row r="215" spans="4:11">
      <c r="D215" t="s">
        <v>2399</v>
      </c>
      <c r="F215" t="s">
        <v>2074</v>
      </c>
      <c r="G215">
        <v>0</v>
      </c>
      <c r="I215" t="s">
        <v>2075</v>
      </c>
      <c r="J215" t="s">
        <v>2076</v>
      </c>
      <c r="K215" t="s">
        <v>2401</v>
      </c>
    </row>
  </sheetData>
  <conditionalFormatting sqref="K$1:K$1048576">
    <cfRule type="duplicateValues" dxfId="0" priority="1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帕博怕</dc:creator>
  <cp:lastModifiedBy>你好</cp:lastModifiedBy>
  <dcterms:created xsi:type="dcterms:W3CDTF">2024-07-03T02:39:00Z</dcterms:created>
  <dcterms:modified xsi:type="dcterms:W3CDTF">2026-03-27T03:09:52Z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AB8D68D1F7704F25915AA5270ABAE7DD_13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